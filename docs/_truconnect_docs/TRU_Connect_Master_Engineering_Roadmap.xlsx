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DD4819C0-6F43-4A3F-830C-CA742C5A26A9}" xr6:coauthVersionLast="47" xr6:coauthVersionMax="47" xr10:uidLastSave="{00000000-0000-0000-0000-000000000000}"/>
  <bookViews>
    <workbookView xWindow="-108" yWindow="-108" windowWidth="23256" windowHeight="12456" tabRatio="799" xr2:uid="{00000000-000D-0000-FFFF-FFFF00000000}"/>
  </bookViews>
  <sheets>
    <sheet name="Master Dashboard" sheetId="1" r:id="rId1"/>
    <sheet name="Backend" sheetId="2" r:id="rId2"/>
    <sheet name="Frontend" sheetId="3" r:id="rId3"/>
    <sheet name="Database" sheetId="4" r:id="rId4"/>
    <sheet name="API" sheetId="5" r:id="rId5"/>
    <sheet name="Trust Engine" sheetId="6" r:id="rId6"/>
    <sheet name="Testing" sheetId="7" r:id="rId7"/>
    <sheet name="DevOps" sheetId="8" r:id="rId8"/>
    <sheet name="Future Phases" sheetId="9" r:id="rId9"/>
    <sheet name="Notes &amp; Assumptions" sheetId="10" r:id="rId10"/>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13" i="1" l="1"/>
  <c r="H12" i="1"/>
  <c r="G12" i="1"/>
  <c r="I12" i="1" s="1"/>
  <c r="F12" i="1"/>
  <c r="E12" i="1"/>
  <c r="D12" i="1"/>
  <c r="C12" i="1"/>
  <c r="B12" i="1"/>
  <c r="H11" i="1"/>
  <c r="G11" i="1"/>
  <c r="I11" i="1" s="1"/>
  <c r="F11" i="1"/>
  <c r="E11" i="1"/>
  <c r="D11" i="1"/>
  <c r="C11" i="1"/>
  <c r="B11" i="1"/>
  <c r="H10" i="1"/>
  <c r="G10" i="1"/>
  <c r="I10" i="1" s="1"/>
  <c r="F10" i="1"/>
  <c r="E10" i="1"/>
  <c r="D10" i="1"/>
  <c r="C10" i="1"/>
  <c r="B10" i="1"/>
  <c r="H9" i="1"/>
  <c r="G9" i="1"/>
  <c r="I9" i="1" s="1"/>
  <c r="F9" i="1"/>
  <c r="E9" i="1"/>
  <c r="D9" i="1"/>
  <c r="C9" i="1"/>
  <c r="B9" i="1"/>
  <c r="H8" i="1"/>
  <c r="G8" i="1"/>
  <c r="I8" i="1" s="1"/>
  <c r="F8" i="1"/>
  <c r="E8" i="1"/>
  <c r="D8" i="1"/>
  <c r="C8" i="1"/>
  <c r="B8" i="1"/>
  <c r="H7" i="1"/>
  <c r="G7" i="1"/>
  <c r="I7" i="1" s="1"/>
  <c r="F7" i="1"/>
  <c r="E7" i="1"/>
  <c r="D7" i="1"/>
  <c r="C7" i="1"/>
  <c r="B7" i="1"/>
  <c r="H6" i="1"/>
  <c r="G6" i="1"/>
  <c r="I6" i="1" s="1"/>
  <c r="F6" i="1"/>
  <c r="E6" i="1"/>
  <c r="D6" i="1"/>
  <c r="C6" i="1"/>
  <c r="B6" i="1"/>
  <c r="H5" i="1"/>
  <c r="G5" i="1"/>
  <c r="I5" i="1" s="1"/>
  <c r="F5" i="1"/>
  <c r="E5" i="1"/>
  <c r="D5" i="1"/>
  <c r="C5" i="1"/>
  <c r="B5" i="1"/>
  <c r="B13" i="1" s="1"/>
  <c r="D13" i="1" l="1"/>
  <c r="C13" i="1"/>
  <c r="F13" i="1"/>
  <c r="H13" i="1"/>
  <c r="G13" i="1"/>
  <c r="I13" i="1" s="1"/>
</calcChain>
</file>

<file path=xl/sharedStrings.xml><?xml version="1.0" encoding="utf-8"?>
<sst xmlns="http://schemas.openxmlformats.org/spreadsheetml/2006/main" count="3661" uniqueCount="1222">
  <si>
    <t>Source of truth: Documents 00–09. See 'Notes &amp; Assumptions' sheet for scope decisions.</t>
  </si>
  <si>
    <t>Sheet</t>
  </si>
  <si>
    <t>Total Tasks</t>
  </si>
  <si>
    <t>⬜ Not Started</t>
  </si>
  <si>
    <t>🟦 In Progress</t>
  </si>
  <si>
    <t>🟨 Testing</t>
  </si>
  <si>
    <t>🟪 Review</t>
  </si>
  <si>
    <t>🟩 Complete</t>
  </si>
  <si>
    <t>🔴 Blocked</t>
  </si>
  <si>
    <t>% Complete</t>
  </si>
  <si>
    <t>Backend</t>
  </si>
  <si>
    <t>Frontend</t>
  </si>
  <si>
    <t>Database</t>
  </si>
  <si>
    <t>API</t>
  </si>
  <si>
    <t>Trust Engine</t>
  </si>
  <si>
    <t>Testing</t>
  </si>
  <si>
    <t>DevOps</t>
  </si>
  <si>
    <t>Future Phases</t>
  </si>
  <si>
    <t>GRAND TOTAL</t>
  </si>
  <si>
    <t>Priority Legend</t>
  </si>
  <si>
    <t>Status Legend</t>
  </si>
  <si>
    <t>🟥 Critical</t>
  </si>
  <si>
    <t>🟧 High</t>
  </si>
  <si>
    <t>🟨 Medium</t>
  </si>
  <si>
    <t>🟩 Low</t>
  </si>
  <si>
    <t>ID</t>
  </si>
  <si>
    <t>Module</t>
  </si>
  <si>
    <t>Feature</t>
  </si>
  <si>
    <t>Task</t>
  </si>
  <si>
    <t>Priority</t>
  </si>
  <si>
    <t>Dependencies</t>
  </si>
  <si>
    <t>Assigned To</t>
  </si>
  <si>
    <t>Status</t>
  </si>
  <si>
    <t>BE-001</t>
  </si>
  <si>
    <t>Authentication Domain</t>
  </si>
  <si>
    <t>users</t>
  </si>
  <si>
    <t>Create `users` Model (SQLAlchemy ORM)</t>
  </si>
  <si>
    <t>DB-001</t>
  </si>
  <si>
    <t>BE-002</t>
  </si>
  <si>
    <t>Create `users` Repository (data access layer)</t>
  </si>
  <si>
    <t>BE-003</t>
  </si>
  <si>
    <t>roles</t>
  </si>
  <si>
    <t>Create `roles` Model (SQLAlchemy ORM)</t>
  </si>
  <si>
    <t>DB-002</t>
  </si>
  <si>
    <t>BE-004</t>
  </si>
  <si>
    <t>Create `roles` Repository (data access layer)</t>
  </si>
  <si>
    <t>BE-005</t>
  </si>
  <si>
    <t>permissions</t>
  </si>
  <si>
    <t>Create `permissions` Model (SQLAlchemy ORM)</t>
  </si>
  <si>
    <t>DB-003</t>
  </si>
  <si>
    <t>BE-006</t>
  </si>
  <si>
    <t>Create `permissions` Repository (data access layer)</t>
  </si>
  <si>
    <t>BE-007</t>
  </si>
  <si>
    <t>role_permissions</t>
  </si>
  <si>
    <t>Create `role_permissions` Model (SQLAlchemy ORM)</t>
  </si>
  <si>
    <t>DB-004</t>
  </si>
  <si>
    <t>BE-008</t>
  </si>
  <si>
    <t>Create `role_permissions` Repository (data access layer)</t>
  </si>
  <si>
    <t>BE-009</t>
  </si>
  <si>
    <t>user_roles</t>
  </si>
  <si>
    <t>Create `user_roles` Model (SQLAlchemy ORM)</t>
  </si>
  <si>
    <t>DB-005</t>
  </si>
  <si>
    <t>BE-010</t>
  </si>
  <si>
    <t>Create `user_roles` Repository (data access layer)</t>
  </si>
  <si>
    <t>BE-011</t>
  </si>
  <si>
    <t>refresh_tokens</t>
  </si>
  <si>
    <t>Create `refresh_tokens` Model (SQLAlchemy ORM)</t>
  </si>
  <si>
    <t>DB-006</t>
  </si>
  <si>
    <t>BE-012</t>
  </si>
  <si>
    <t>Create `refresh_tokens` Repository (data access layer)</t>
  </si>
  <si>
    <t>BE-013</t>
  </si>
  <si>
    <t>login_history</t>
  </si>
  <si>
    <t>Create `login_history` Model (SQLAlchemy ORM)</t>
  </si>
  <si>
    <t>DB-007</t>
  </si>
  <si>
    <t>BE-014</t>
  </si>
  <si>
    <t>Create `login_history` Repository (data access layer)</t>
  </si>
  <si>
    <t>BE-015</t>
  </si>
  <si>
    <t>password_reset_tokens</t>
  </si>
  <si>
    <t>Create `password_reset_tokens` Model (SQLAlchemy ORM)</t>
  </si>
  <si>
    <t>DB-008</t>
  </si>
  <si>
    <t>BE-016</t>
  </si>
  <si>
    <t>Create `password_reset_tokens` Repository (data access layer)</t>
  </si>
  <si>
    <t>BE-017</t>
  </si>
  <si>
    <t>Business Domain</t>
  </si>
  <si>
    <t>businesses</t>
  </si>
  <si>
    <t>Create `businesses` Model (SQLAlchemy ORM)</t>
  </si>
  <si>
    <t>DB-009</t>
  </si>
  <si>
    <t>BE-018</t>
  </si>
  <si>
    <t>Create `businesses` Repository (data access layer)</t>
  </si>
  <si>
    <t>BE-019</t>
  </si>
  <si>
    <t>business_profiles</t>
  </si>
  <si>
    <t>Create `business_profiles` Model (SQLAlchemy ORM)</t>
  </si>
  <si>
    <t>DB-010</t>
  </si>
  <si>
    <t>BE-020</t>
  </si>
  <si>
    <t>Create `business_profiles` Repository (data access layer)</t>
  </si>
  <si>
    <t>BE-021</t>
  </si>
  <si>
    <t>business_addresses</t>
  </si>
  <si>
    <t>Create `business_addresses` Model (SQLAlchemy ORM)</t>
  </si>
  <si>
    <t>DB-011</t>
  </si>
  <si>
    <t>BE-022</t>
  </si>
  <si>
    <t>Create `business_addresses` Repository (data access layer)</t>
  </si>
  <si>
    <t>BE-023</t>
  </si>
  <si>
    <t>business_categories</t>
  </si>
  <si>
    <t>Create `business_categories` Model (SQLAlchemy ORM)</t>
  </si>
  <si>
    <t>DB-012</t>
  </si>
  <si>
    <t>BE-024</t>
  </si>
  <si>
    <t>Create `business_categories` Repository (data access layer)</t>
  </si>
  <si>
    <t>BE-025</t>
  </si>
  <si>
    <t>business_documents</t>
  </si>
  <si>
    <t>Create `business_documents` Model (SQLAlchemy ORM)</t>
  </si>
  <si>
    <t>DB-013</t>
  </si>
  <si>
    <t>BE-026</t>
  </si>
  <si>
    <t>Create `business_documents` Repository (data access layer)</t>
  </si>
  <si>
    <t>BE-027</t>
  </si>
  <si>
    <t>business_settings</t>
  </si>
  <si>
    <t>Create `business_settings` Model (SQLAlchemy ORM)</t>
  </si>
  <si>
    <t>DB-014</t>
  </si>
  <si>
    <t>BE-028</t>
  </si>
  <si>
    <t>Create `business_settings` Repository (data access layer)</t>
  </si>
  <si>
    <t>BE-029</t>
  </si>
  <si>
    <t>business_bookmarks</t>
  </si>
  <si>
    <t>Create `business_bookmarks` Model (SQLAlchemy ORM)</t>
  </si>
  <si>
    <t>DB-015</t>
  </si>
  <si>
    <t>BE-030</t>
  </si>
  <si>
    <t>Create `business_bookmarks` Repository (data access layer)</t>
  </si>
  <si>
    <t>BE-031</t>
  </si>
  <si>
    <t>Supplier Domain</t>
  </si>
  <si>
    <t>suppliers</t>
  </si>
  <si>
    <t>Create `suppliers` Model (SQLAlchemy ORM)</t>
  </si>
  <si>
    <t>DB-016</t>
  </si>
  <si>
    <t>BE-032</t>
  </si>
  <si>
    <t>Create `suppliers` Repository (data access layer)</t>
  </si>
  <si>
    <t>BE-033</t>
  </si>
  <si>
    <t>supplier_profiles</t>
  </si>
  <si>
    <t>Create `supplier_profiles` Model (SQLAlchemy ORM)</t>
  </si>
  <si>
    <t>DB-017</t>
  </si>
  <si>
    <t>BE-034</t>
  </si>
  <si>
    <t>Create `supplier_profiles` Repository (data access layer)</t>
  </si>
  <si>
    <t>BE-035</t>
  </si>
  <si>
    <t>supplier_categories</t>
  </si>
  <si>
    <t>Create `supplier_categories` Model (SQLAlchemy ORM)</t>
  </si>
  <si>
    <t>DB-018</t>
  </si>
  <si>
    <t>BE-036</t>
  </si>
  <si>
    <t>Create `supplier_categories` Repository (data access layer)</t>
  </si>
  <si>
    <t>BE-037</t>
  </si>
  <si>
    <t>supplier_products</t>
  </si>
  <si>
    <t>Create `supplier_products` Model (SQLAlchemy ORM)</t>
  </si>
  <si>
    <t>DB-019</t>
  </si>
  <si>
    <t>BE-038</t>
  </si>
  <si>
    <t>Create `supplier_products` Repository (data access layer)</t>
  </si>
  <si>
    <t>BE-039</t>
  </si>
  <si>
    <t>supplier_product_images</t>
  </si>
  <si>
    <t>Create `supplier_product_images` Model (SQLAlchemy ORM)</t>
  </si>
  <si>
    <t>DB-020</t>
  </si>
  <si>
    <t>BE-040</t>
  </si>
  <si>
    <t>Create `supplier_product_images` Repository (data access layer)</t>
  </si>
  <si>
    <t>BE-041</t>
  </si>
  <si>
    <t>supplier_delivery_regions</t>
  </si>
  <si>
    <t>Create `supplier_delivery_regions` Model (SQLAlchemy ORM)</t>
  </si>
  <si>
    <t>DB-021</t>
  </si>
  <si>
    <t>BE-042</t>
  </si>
  <si>
    <t>Create `supplier_delivery_regions` Repository (data access layer)</t>
  </si>
  <si>
    <t>BE-043</t>
  </si>
  <si>
    <t>supplier_business_hours</t>
  </si>
  <si>
    <t>Create `supplier_business_hours` Model (SQLAlchemy ORM)</t>
  </si>
  <si>
    <t>DB-022</t>
  </si>
  <si>
    <t>BE-044</t>
  </si>
  <si>
    <t>Create `supplier_business_hours` Repository (data access layer)</t>
  </si>
  <si>
    <t>BE-045</t>
  </si>
  <si>
    <t>supplier_updates</t>
  </si>
  <si>
    <t>Create `supplier_updates` Model (SQLAlchemy ORM)</t>
  </si>
  <si>
    <t>DB-023</t>
  </si>
  <si>
    <t>BE-046</t>
  </si>
  <si>
    <t>Create `supplier_updates` Repository (data access layer)</t>
  </si>
  <si>
    <t>BE-047</t>
  </si>
  <si>
    <t>Marketplace Domain</t>
  </si>
  <si>
    <t>orders</t>
  </si>
  <si>
    <t>Create `orders` Model (SQLAlchemy ORM)</t>
  </si>
  <si>
    <t>DB-024</t>
  </si>
  <si>
    <t>BE-048</t>
  </si>
  <si>
    <t>Create `orders` Repository (data access layer)</t>
  </si>
  <si>
    <t>BE-049</t>
  </si>
  <si>
    <t>order_items</t>
  </si>
  <si>
    <t>Create `order_items` Model (SQLAlchemy ORM)</t>
  </si>
  <si>
    <t>DB-025</t>
  </si>
  <si>
    <t>BE-050</t>
  </si>
  <si>
    <t>Create `order_items` Repository (data access layer)</t>
  </si>
  <si>
    <t>BE-051</t>
  </si>
  <si>
    <t>business_questions</t>
  </si>
  <si>
    <t>Create `business_questions` Model (SQLAlchemy ORM)</t>
  </si>
  <si>
    <t>DB-026</t>
  </si>
  <si>
    <t>BE-052</t>
  </si>
  <si>
    <t>Create `business_questions` Repository (data access layer)</t>
  </si>
  <si>
    <t>BE-053</t>
  </si>
  <si>
    <t>supplier_responses</t>
  </si>
  <si>
    <t>Create `supplier_responses` Model (SQLAlchemy ORM)</t>
  </si>
  <si>
    <t>DB-027</t>
  </si>
  <si>
    <t>BE-054</t>
  </si>
  <si>
    <t>Create `supplier_responses` Repository (data access layer)</t>
  </si>
  <si>
    <t>BE-055</t>
  </si>
  <si>
    <t>product_views</t>
  </si>
  <si>
    <t>Create `product_views` Model (SQLAlchemy ORM)</t>
  </si>
  <si>
    <t>DB-028</t>
  </si>
  <si>
    <t>BE-056</t>
  </si>
  <si>
    <t>Create `product_views` Repository (data access layer)</t>
  </si>
  <si>
    <t>BE-057</t>
  </si>
  <si>
    <t>saved_products</t>
  </si>
  <si>
    <t>Create `saved_products` Model (SQLAlchemy ORM)</t>
  </si>
  <si>
    <t>DB-029</t>
  </si>
  <si>
    <t>BE-058</t>
  </si>
  <si>
    <t>Create `saved_products` Repository (data access layer)</t>
  </si>
  <si>
    <t>BE-059</t>
  </si>
  <si>
    <t>saved_suppliers</t>
  </si>
  <si>
    <t>Create `saved_suppliers` Model (SQLAlchemy ORM)</t>
  </si>
  <si>
    <t>DB-030</t>
  </si>
  <si>
    <t>BE-060</t>
  </si>
  <si>
    <t>Create `saved_suppliers` Repository (data access layer)</t>
  </si>
  <si>
    <t>BE-061</t>
  </si>
  <si>
    <t>Trust Domain</t>
  </si>
  <si>
    <t>business_supplier_relationships</t>
  </si>
  <si>
    <t>Create `business_supplier_relationships` Model (SQLAlchemy ORM)</t>
  </si>
  <si>
    <t>DB-031</t>
  </si>
  <si>
    <t>BE-062</t>
  </si>
  <si>
    <t>Create `business_supplier_relationships` Repository (data access layer)</t>
  </si>
  <si>
    <t>BE-063</t>
  </si>
  <si>
    <t>relationship_events</t>
  </si>
  <si>
    <t>Create `relationship_events` Model (SQLAlchemy ORM)</t>
  </si>
  <si>
    <t>DB-032</t>
  </si>
  <si>
    <t>BE-064</t>
  </si>
  <si>
    <t>Create `relationship_events` Repository (data access layer)</t>
  </si>
  <si>
    <t>BE-065</t>
  </si>
  <si>
    <t>trust_signals</t>
  </si>
  <si>
    <t>Create `trust_signals` Model (SQLAlchemy ORM)</t>
  </si>
  <si>
    <t>DB-033</t>
  </si>
  <si>
    <t>BE-066</t>
  </si>
  <si>
    <t>Create `trust_signals` Repository (data access layer)</t>
  </si>
  <si>
    <t>BE-067</t>
  </si>
  <si>
    <t>business_health_scores</t>
  </si>
  <si>
    <t>Create `business_health_scores` Model (SQLAlchemy ORM)</t>
  </si>
  <si>
    <t>DB-034</t>
  </si>
  <si>
    <t>BE-068</t>
  </si>
  <si>
    <t>Create `business_health_scores` Repository (data access layer)</t>
  </si>
  <si>
    <t>BE-069</t>
  </si>
  <si>
    <t>supplier_reputation_scores</t>
  </si>
  <si>
    <t>Create `supplier_reputation_scores` Model (SQLAlchemy ORM)</t>
  </si>
  <si>
    <t>DB-035</t>
  </si>
  <si>
    <t>BE-070</t>
  </si>
  <si>
    <t>Create `supplier_reputation_scores` Repository (data access layer)</t>
  </si>
  <si>
    <t>BE-071</t>
  </si>
  <si>
    <t>trust_score_history</t>
  </si>
  <si>
    <t>Create `trust_score_history` Model (SQLAlchemy ORM)</t>
  </si>
  <si>
    <t>DB-036</t>
  </si>
  <si>
    <t>BE-072</t>
  </si>
  <si>
    <t>Create `trust_score_history` Repository (data access layer)</t>
  </si>
  <si>
    <t>BE-073</t>
  </si>
  <si>
    <t>Verification Domain</t>
  </si>
  <si>
    <t>verification_requests</t>
  </si>
  <si>
    <t>Create `verification_requests` Model (SQLAlchemy ORM)</t>
  </si>
  <si>
    <t>DB-037</t>
  </si>
  <si>
    <t>BE-074</t>
  </si>
  <si>
    <t>Create `verification_requests` Repository (data access layer)</t>
  </si>
  <si>
    <t>BE-075</t>
  </si>
  <si>
    <t>verification_documents</t>
  </si>
  <si>
    <t>Create `verification_documents` Model (SQLAlchemy ORM)</t>
  </si>
  <si>
    <t>DB-038</t>
  </si>
  <si>
    <t>BE-076</t>
  </si>
  <si>
    <t>Create `verification_documents` Repository (data access layer)</t>
  </si>
  <si>
    <t>BE-077</t>
  </si>
  <si>
    <t>verification_history</t>
  </si>
  <si>
    <t>Create `verification_history` Model (SQLAlchemy ORM)</t>
  </si>
  <si>
    <t>DB-039</t>
  </si>
  <si>
    <t>BE-078</t>
  </si>
  <si>
    <t>Create `verification_history` Repository (data access layer)</t>
  </si>
  <si>
    <t>BE-079</t>
  </si>
  <si>
    <t>Platform Domain</t>
  </si>
  <si>
    <t>notifications</t>
  </si>
  <si>
    <t>Create `notifications` Model (SQLAlchemy ORM)</t>
  </si>
  <si>
    <t>DB-040</t>
  </si>
  <si>
    <t>BE-080</t>
  </si>
  <si>
    <t>Create `notifications` Repository (data access layer)</t>
  </si>
  <si>
    <t>BE-081</t>
  </si>
  <si>
    <t>notification_preferences</t>
  </si>
  <si>
    <t>Create `notification_preferences` Model (SQLAlchemy ORM)</t>
  </si>
  <si>
    <t>DB-041</t>
  </si>
  <si>
    <t>BE-082</t>
  </si>
  <si>
    <t>Create `notification_preferences` Repository (data access layer)</t>
  </si>
  <si>
    <t>BE-083</t>
  </si>
  <si>
    <t>audit_logs</t>
  </si>
  <si>
    <t>Create `audit_logs` Model (SQLAlchemy ORM)</t>
  </si>
  <si>
    <t>DB-042</t>
  </si>
  <si>
    <t>BE-084</t>
  </si>
  <si>
    <t>Create `audit_logs` Repository (data access layer)</t>
  </si>
  <si>
    <t>BE-085</t>
  </si>
  <si>
    <t>system_settings</t>
  </si>
  <si>
    <t>Create `system_settings` Model (SQLAlchemy ORM)</t>
  </si>
  <si>
    <t>DB-043</t>
  </si>
  <si>
    <t>BE-086</t>
  </si>
  <si>
    <t>Create `system_settings` Repository (data access layer)</t>
  </si>
  <si>
    <t>BE-087</t>
  </si>
  <si>
    <t>lookup_categories</t>
  </si>
  <si>
    <t>Create `lookup_categories` Model (SQLAlchemy ORM)</t>
  </si>
  <si>
    <t>DB-044</t>
  </si>
  <si>
    <t>BE-088</t>
  </si>
  <si>
    <t>Create `lookup_categories` Repository (data access layer)</t>
  </si>
  <si>
    <t>BE-089</t>
  </si>
  <si>
    <t>provinces</t>
  </si>
  <si>
    <t>Create `provinces` Model (SQLAlchemy ORM)</t>
  </si>
  <si>
    <t>DB-045</t>
  </si>
  <si>
    <t>BE-090</t>
  </si>
  <si>
    <t>Create `provinces` Repository (data access layer)</t>
  </si>
  <si>
    <t>BE-091</t>
  </si>
  <si>
    <t>cities</t>
  </si>
  <si>
    <t>Create `cities` Model (SQLAlchemy ORM)</t>
  </si>
  <si>
    <t>DB-046</t>
  </si>
  <si>
    <t>BE-092</t>
  </si>
  <si>
    <t>Create `cities` Repository (data access layer)</t>
  </si>
  <si>
    <t>BE-093</t>
  </si>
  <si>
    <t>Registration (Business)</t>
  </si>
  <si>
    <t>Registration Service — Business: create business + zero-state Digital Business Profile (Document 06 §1)</t>
  </si>
  <si>
    <t>See linked domain models</t>
  </si>
  <si>
    <t>BE-094</t>
  </si>
  <si>
    <t>Business Registration request Schema (name, category, location, contact number)</t>
  </si>
  <si>
    <t>BE-095</t>
  </si>
  <si>
    <t>Enforce one-role-per-account constraint at registration (Document 06 §1)</t>
  </si>
  <si>
    <t>BE-096</t>
  </si>
  <si>
    <t>Registration (Supplier)</t>
  </si>
  <si>
    <t>Registration Service — Supplier: create supplier + zero-state Supplier Profile (Document 06 §2)</t>
  </si>
  <si>
    <t>BE-097</t>
  </si>
  <si>
    <t>Supplier Registration request Schema (name, category, regions served, contact number)</t>
  </si>
  <si>
    <t>BE-098</t>
  </si>
  <si>
    <t>Enforce supplier cannot publish products until profile is complete (Document 06 §2)</t>
  </si>
  <si>
    <t>BE-099</t>
  </si>
  <si>
    <t>Login</t>
  </si>
  <si>
    <t>Login Service — email/password credential verification + login_history entry</t>
  </si>
  <si>
    <t>BE-100</t>
  </si>
  <si>
    <t>Google OAuth Service — verify Google token, create or match account</t>
  </si>
  <si>
    <t>BE-101</t>
  </si>
  <si>
    <t>Token Management</t>
  </si>
  <si>
    <t>Refresh Token Service — issue, validate, rotate refresh tokens</t>
  </si>
  <si>
    <t>BE-102</t>
  </si>
  <si>
    <t>Logout Service — revoke current refresh_token</t>
  </si>
  <si>
    <t>BE-103</t>
  </si>
  <si>
    <t>Password Reset</t>
  </si>
  <si>
    <t>Forgot Password Service — create password_reset_tokens entry, send email</t>
  </si>
  <si>
    <t>BE-104</t>
  </si>
  <si>
    <t>Reset Password Service — validate reset token, update password_hash</t>
  </si>
  <si>
    <t>BE-105</t>
  </si>
  <si>
    <t>Authorization</t>
  </si>
  <si>
    <t>Role Authorization Decorator — enforce roles/permissions/role_permissions/user_roles (Document 04 §7 note 5)</t>
  </si>
  <si>
    <t>BE-106</t>
  </si>
  <si>
    <t>Verification</t>
  </si>
  <si>
    <t>Verification Service — submit request (business or supplier) with documents (Document 06 §3)</t>
  </si>
  <si>
    <t>BE-107</t>
  </si>
  <si>
    <t>Verification Service — approve request: set is_verified flag + verification badge (Document 06 §3)</t>
  </si>
  <si>
    <t>BE-108</t>
  </si>
  <si>
    <t>Verification Service — reject request: internal reviewer_notes only, generic message to user (Document 06 §3)</t>
  </si>
  <si>
    <t>BE-109</t>
  </si>
  <si>
    <t>Enforce Featured Suppliers listing requires approved verification (Document 06 §3)</t>
  </si>
  <si>
    <t>BE-110</t>
  </si>
  <si>
    <t>Product Listing</t>
  </si>
  <si>
    <t>Product Service — create product, enforce exactly one category (Document 06 §4)</t>
  </si>
  <si>
    <t>BE-111</t>
  </si>
  <si>
    <t>Product Service — draft vs published (is_published flag) on create (Document 06 §4)</t>
  </si>
  <si>
    <t>BE-112</t>
  </si>
  <si>
    <t>Product Service — update stock_status (in_stock/low_stock/out_of_stock)</t>
  </si>
  <si>
    <t>BE-113</t>
  </si>
  <si>
    <t>Exclude out_of_stock products from Popular Products ranking (Document 06 §4)</t>
  </si>
  <si>
    <t>BE-114</t>
  </si>
  <si>
    <t>Product Service — soft-delete/unpublish on delete, preserve Order Item history (Document 06 §4)</t>
  </si>
  <si>
    <t>BE-115</t>
  </si>
  <si>
    <t>Supplier Discovery</t>
  </si>
  <si>
    <t>Supplier Search Service — ranking by relevance, verification status, distance, relationship signal (Document 06 §5)</t>
  </si>
  <si>
    <t>BE-116</t>
  </si>
  <si>
    <t>Supplier Search Service — "Verified only" filter (Document 06 §5)</t>
  </si>
  <si>
    <t>BE-117</t>
  </si>
  <si>
    <t>Viewing Products</t>
  </si>
  <si>
    <t>Product View Service — log product_views event on Product Detail open (Document 06 §6)</t>
  </si>
  <si>
    <t>BE-118</t>
  </si>
  <si>
    <t>Business Questions</t>
  </si>
  <si>
    <t>Business Question Service — create question with category enum (Document 06 §7)</t>
  </si>
  <si>
    <t>BE-119</t>
  </si>
  <si>
    <t>Business Question Service — notify supplier of new unanswered question (Document 06 §7)</t>
  </si>
  <si>
    <t>BE-120</t>
  </si>
  <si>
    <t>Supplier Responses</t>
  </si>
  <si>
    <t>Supplier Response Service — create response, enforce one official response per question (Document 06 §8)</t>
  </si>
  <si>
    <t>BE-121</t>
  </si>
  <si>
    <t>Supplier Response Service — update average_response_time_minutes and response_rate_percentage (Document 06 §8)</t>
  </si>
  <si>
    <t>BE-122</t>
  </si>
  <si>
    <t>Bookmark Supplier</t>
  </si>
  <si>
    <t>Bookmark Service — create saved_suppliers entry, one-directional, no supplier notification (Document 06 §9)</t>
  </si>
  <si>
    <t>BE-123</t>
  </si>
  <si>
    <t>Place Order</t>
  </si>
  <si>
    <t>Order Service — enforce single-supplier-only cart (Document 06 §10)</t>
  </si>
  <si>
    <t>BE-124</t>
  </si>
  <si>
    <t>Order Service — enforce minimum order quantity per product line (Document 06 §10)</t>
  </si>
  <si>
    <t>BE-125</t>
  </si>
  <si>
    <t>Order Service — lock unit_price_at_order_time using current price + bulk pricing rules (Document 06 §10)</t>
  </si>
  <si>
    <t>BE-126</t>
  </si>
  <si>
    <t>Accept Order</t>
  </si>
  <si>
    <t>Order Service — accept: transition status, set accepted_at, notify business (Document 06 §11)</t>
  </si>
  <si>
    <t>BE-127</t>
  </si>
  <si>
    <t>Reject Order</t>
  </si>
  <si>
    <t>Order Service — reject: require reason, transition status, notify business (Document 06 §12)</t>
  </si>
  <si>
    <t>BE-128</t>
  </si>
  <si>
    <t>Exclude rejected orders from repeat-order/trust calculations (Document 06 §12)</t>
  </si>
  <si>
    <t>BE-129</t>
  </si>
  <si>
    <t>Complete Order</t>
  </si>
  <si>
    <t>Order Service — complete: transition status, set completed_at, generate invoice (Document 06 §13)</t>
  </si>
  <si>
    <t>BE-130</t>
  </si>
  <si>
    <t>Order Service — trigger Business Profile + Supplier Profile recalculation on completion (Document 06 §13)</t>
  </si>
  <si>
    <t>BE-131</t>
  </si>
  <si>
    <t>Order History</t>
  </si>
  <si>
    <t>Enforce order history immutability once a terminal status is reached (Document 06 §14)</t>
  </si>
  <si>
    <t>BE-132</t>
  </si>
  <si>
    <t>Profile Recalculation</t>
  </si>
  <si>
    <t>Async Job — recalculate Business Profile on order placed (Document 06 §15)</t>
  </si>
  <si>
    <t>BE-133</t>
  </si>
  <si>
    <t>Async Job — recalculate Business Profile on order completed (Document 06 §15)</t>
  </si>
  <si>
    <t>BE-134</t>
  </si>
  <si>
    <t>Async Job — recalculate Business Profile on order cancelled/rejected (Document 06 §15)</t>
  </si>
  <si>
    <t>BE-135</t>
  </si>
  <si>
    <t>Async Job — recalculate Business Profile on new supplier relationship established (Document 06 §15)</t>
  </si>
  <si>
    <t>BE-136</t>
  </si>
  <si>
    <t>Async Job — recalculate Business Profile on verification status change (Document 06 §15)</t>
  </si>
  <si>
    <t>BE-137</t>
  </si>
  <si>
    <t>Async Job — recalculate Supplier Profile on order received/accepted/rejected/completed (Document 06 §16)</t>
  </si>
  <si>
    <t>BE-138</t>
  </si>
  <si>
    <t>Async Job — recalculate Supplier Profile on Business Question response submitted (Document 06 §16)</t>
  </si>
  <si>
    <t>BE-139</t>
  </si>
  <si>
    <t>Trust Updates</t>
  </si>
  <si>
    <t>Async job runner — non-blocking recalculation queue (Document 06 §17)</t>
  </si>
  <si>
    <t>BE-140</t>
  </si>
  <si>
    <t>Relationship-level statistics update per business-supplier pair (Document 06 §17)</t>
  </si>
  <si>
    <t>BE-141</t>
  </si>
  <si>
    <t>Notifications</t>
  </si>
  <si>
    <t>Notification Service — order status change (sync delivery, Document 06 §18)</t>
  </si>
  <si>
    <t>BE-142</t>
  </si>
  <si>
    <t>Notification Service — Business Question response (sync delivery, Document 06 §18)</t>
  </si>
  <si>
    <t>BE-143</t>
  </si>
  <si>
    <t>Notification Service — Business Update fan-out to followers (Document 06 §18)</t>
  </si>
  <si>
    <t>BE-144</t>
  </si>
  <si>
    <t>Notification Service — verification status change (sync delivery, Document 06 §18)</t>
  </si>
  <si>
    <t>BE-145</t>
  </si>
  <si>
    <t>Account Integrity</t>
  </si>
  <si>
    <t>Account Service — deactivation: hide from discovery, preserve history (Document 06 §19)</t>
  </si>
  <si>
    <t>BE-146</t>
  </si>
  <si>
    <t>Cross-Domain</t>
  </si>
  <si>
    <t>Core Infrastructure</t>
  </si>
  <si>
    <t>config.py — environment-based configuration (dev/staging/prod)</t>
  </si>
  <si>
    <t>None</t>
  </si>
  <si>
    <t>BE-147</t>
  </si>
  <si>
    <t>extensions.py — initialise Flask extensions (SQLAlchemy, JWT, CORS)</t>
  </si>
  <si>
    <t>BE-148</t>
  </si>
  <si>
    <t>base_model.py — shared model base class (UUID PK, created_at/updated_at)</t>
  </si>
  <si>
    <t>BE-149</t>
  </si>
  <si>
    <t>decorators.py — role/permission enforcement decorators</t>
  </si>
  <si>
    <t>BE-150</t>
  </si>
  <si>
    <t>exceptions.py — custom exception classes</t>
  </si>
  <si>
    <t>BE-151</t>
  </si>
  <si>
    <t>responses.py — standard API response envelope (Document 05 §1 error structure)</t>
  </si>
  <si>
    <t>BE-152</t>
  </si>
  <si>
    <t>logger.py — structured logging utility</t>
  </si>
  <si>
    <t>BE-153</t>
  </si>
  <si>
    <t>security.py — password hashing + JWT token utilities</t>
  </si>
  <si>
    <t>BE-154</t>
  </si>
  <si>
    <t>Pagination utility — shared page/page_size helper (Document 05 §1)</t>
  </si>
  <si>
    <t>BE-155</t>
  </si>
  <si>
    <t>JWT Service — issue, verify, refresh tokens (Document 05 §5.1)</t>
  </si>
  <si>
    <t>FE-001</t>
  </si>
  <si>
    <t>Shared / Pre-Auth</t>
  </si>
  <si>
    <t>Screens</t>
  </si>
  <si>
    <t>Build Landing Screen (two-slide role introduction) Screen</t>
  </si>
  <si>
    <t>Corresponding API endpoint(s)</t>
  </si>
  <si>
    <t>FE-002</t>
  </si>
  <si>
    <t>Build Login Screen Screen</t>
  </si>
  <si>
    <t>FE-003</t>
  </si>
  <si>
    <t>Build Register Screen Screen</t>
  </si>
  <si>
    <t>FE-004</t>
  </si>
  <si>
    <t>Build Google Authentication flow screen Screen</t>
  </si>
  <si>
    <t>FE-005</t>
  </si>
  <si>
    <t>Business (Doc01 §8.2)</t>
  </si>
  <si>
    <t>Build Business Home Dashboard Screen</t>
  </si>
  <si>
    <t>FE-006</t>
  </si>
  <si>
    <t>Build Business Profile Screen</t>
  </si>
  <si>
    <t>FE-007</t>
  </si>
  <si>
    <t>Build Verification Screen</t>
  </si>
  <si>
    <t>FE-008</t>
  </si>
  <si>
    <t>Build Wallet (Phase 1 placeholder — Document 01 §8.2) Screen</t>
  </si>
  <si>
    <t>FE-009</t>
  </si>
  <si>
    <t>Build Saved Suppliers Screen</t>
  </si>
  <si>
    <t>FE-010</t>
  </si>
  <si>
    <t>Add Loading State (skeleton) to Saved Suppliers — Document 02 §2.3</t>
  </si>
  <si>
    <t>FE-011</t>
  </si>
  <si>
    <t>Add Empty State to Saved Suppliers — Document 02 §2.3 / Document 03 §5.9</t>
  </si>
  <si>
    <t>FE-012</t>
  </si>
  <si>
    <t>Build Business Documents Screen</t>
  </si>
  <si>
    <t>FE-013</t>
  </si>
  <si>
    <t>Build Business Insights (Phase 1 placeholder — Document 01 §8.2) Screen</t>
  </si>
  <si>
    <t>FE-014</t>
  </si>
  <si>
    <t>Build Supplier Search / Discovery Screen</t>
  </si>
  <si>
    <t>FE-015</t>
  </si>
  <si>
    <t>Add Loading State (skeleton) to Supplier Search / Discovery — Document 02 §2.3</t>
  </si>
  <si>
    <t>FE-016</t>
  </si>
  <si>
    <t>Add Empty State to Supplier Search / Discovery — Document 02 §2.3 / Document 03 §5.9</t>
  </si>
  <si>
    <t>FE-017</t>
  </si>
  <si>
    <t>Build Supplier Profile (public view) Screen</t>
  </si>
  <si>
    <t>FE-018</t>
  </si>
  <si>
    <t>Build Product Detail (with Business Questions thread) Screen</t>
  </si>
  <si>
    <t>FE-019</t>
  </si>
  <si>
    <t>Build Cart / Order Placement Screen</t>
  </si>
  <si>
    <t>FE-020</t>
  </si>
  <si>
    <t>Build Order List (current, pending, completed, cancelled) Screen</t>
  </si>
  <si>
    <t>FE-021</t>
  </si>
  <si>
    <t>Add Loading State (skeleton) to Order List (current, pending, completed, cancelled) — Document 02 §2.3</t>
  </si>
  <si>
    <t>FE-022</t>
  </si>
  <si>
    <t>Add Empty State to Order List (current, pending, completed, cancelled) — Document 02 §2.3 / Document 03 §5.9</t>
  </si>
  <si>
    <t>FE-023</t>
  </si>
  <si>
    <t>Build Order Detail / Delivery Tracking Screen</t>
  </si>
  <si>
    <t>FE-024</t>
  </si>
  <si>
    <t>Build Notifications Screen</t>
  </si>
  <si>
    <t>FE-025</t>
  </si>
  <si>
    <t>Add Loading State (skeleton) to Notifications — Document 02 §2.3</t>
  </si>
  <si>
    <t>FE-026</t>
  </si>
  <si>
    <t>Add Empty State to Notifications — Document 02 §2.3 / Document 03 §5.9</t>
  </si>
  <si>
    <t>FE-027</t>
  </si>
  <si>
    <t>Build Settings / More Screen</t>
  </si>
  <si>
    <t>FE-028</t>
  </si>
  <si>
    <t>Supplier (Doc01 §8.3)</t>
  </si>
  <si>
    <t>Build Supplier Home Dashboard Screen</t>
  </si>
  <si>
    <t>FE-029</t>
  </si>
  <si>
    <t>Build Product Catalogue Management Screen</t>
  </si>
  <si>
    <t>FE-030</t>
  </si>
  <si>
    <t>Add Loading State (skeleton) to Product Catalogue Management — Document 02 §2.3</t>
  </si>
  <si>
    <t>FE-031</t>
  </si>
  <si>
    <t>Add Empty State to Product Catalogue Management — Document 02 §2.3 / Document 03 §5.9</t>
  </si>
  <si>
    <t>FE-032</t>
  </si>
  <si>
    <t>Build Product Create / Edit Screen</t>
  </si>
  <si>
    <t>FE-033</t>
  </si>
  <si>
    <t>Build Order List (incoming, accepted, completed, cancelled) Screen</t>
  </si>
  <si>
    <t>FE-034</t>
  </si>
  <si>
    <t>Add Loading State (skeleton) to Order List (incoming, accepted, completed, cancelled) — Document 02 §2.3</t>
  </si>
  <si>
    <t>FE-035</t>
  </si>
  <si>
    <t>Add Empty State to Order List (incoming, accepted, completed, cancelled) — Document 02 §2.3 / Document 03 §5.9</t>
  </si>
  <si>
    <t>FE-036</t>
  </si>
  <si>
    <t>Build Order Detail / Fulfilment Screen</t>
  </si>
  <si>
    <t>FE-037</t>
  </si>
  <si>
    <t>Build Customer Enquiries List Screen</t>
  </si>
  <si>
    <t>FE-038</t>
  </si>
  <si>
    <t>Add Loading State (skeleton) to Customer Enquiries List — Document 02 §2.3</t>
  </si>
  <si>
    <t>FE-039</t>
  </si>
  <si>
    <t>Add Empty State to Customer Enquiries List — Document 02 §2.3 / Document 03 §5.9</t>
  </si>
  <si>
    <t>FE-040</t>
  </si>
  <si>
    <t>Build Business Performance / Statistics Screen</t>
  </si>
  <si>
    <t>FE-041</t>
  </si>
  <si>
    <t>Build Business Updates Composer Screen</t>
  </si>
  <si>
    <t>FE-042</t>
  </si>
  <si>
    <t>FE-043</t>
  </si>
  <si>
    <t>FE-044</t>
  </si>
  <si>
    <t>FE-045</t>
  </si>
  <si>
    <t>FE-046</t>
  </si>
  <si>
    <t>Auth Components</t>
  </si>
  <si>
    <t>Component Library (Document 03)</t>
  </si>
  <si>
    <t>Build GoogleAuthButton Component</t>
  </si>
  <si>
    <t>Theme tokens</t>
  </si>
  <si>
    <t>FE-047</t>
  </si>
  <si>
    <t>Build RoleSelector Component</t>
  </si>
  <si>
    <t>FE-048</t>
  </si>
  <si>
    <t>Business Components</t>
  </si>
  <si>
    <t>Build BusinessSummaryCard Component</t>
  </si>
  <si>
    <t>FE-049</t>
  </si>
  <si>
    <t>Build SupplierCard Component</t>
  </si>
  <si>
    <t>FE-050</t>
  </si>
  <si>
    <t>Build ProductCard Component</t>
  </si>
  <si>
    <t>FE-051</t>
  </si>
  <si>
    <t>Build OrderCard (Business view) Component</t>
  </si>
  <si>
    <t>FE-052</t>
  </si>
  <si>
    <t>Build CategoryCard / Category Chips Component</t>
  </si>
  <si>
    <t>FE-053</t>
  </si>
  <si>
    <t>Build BusinessQuestionThread Component</t>
  </si>
  <si>
    <t>FE-054</t>
  </si>
  <si>
    <t>Build DigitalBusinessProfileCard Component</t>
  </si>
  <si>
    <t>FE-055</t>
  </si>
  <si>
    <t>Supplier Components</t>
  </si>
  <si>
    <t>Build SupplierSummaryCard Component</t>
  </si>
  <si>
    <t>FE-056</t>
  </si>
  <si>
    <t>Build CustomerCard Component</t>
  </si>
  <si>
    <t>FE-057</t>
  </si>
  <si>
    <t>Build ProductManagementCard Component</t>
  </si>
  <si>
    <t>FE-058</t>
  </si>
  <si>
    <t>Build OrderCard (Supplier view) Component</t>
  </si>
  <si>
    <t>FE-059</t>
  </si>
  <si>
    <t>Build BusinessPerformanceCard Component</t>
  </si>
  <si>
    <t>FE-060</t>
  </si>
  <si>
    <t>Build BusinessUpdateComposer Component</t>
  </si>
  <si>
    <t>FE-061</t>
  </si>
  <si>
    <t>Shared Components</t>
  </si>
  <si>
    <t>Build AppHeader Component</t>
  </si>
  <si>
    <t>FE-062</t>
  </si>
  <si>
    <t>Build SearchBar Component</t>
  </si>
  <si>
    <t>FE-063</t>
  </si>
  <si>
    <t>Build BottomNavigation Component</t>
  </si>
  <si>
    <t>FE-064</t>
  </si>
  <si>
    <t>Build StatisticsCard Component</t>
  </si>
  <si>
    <t>FE-065</t>
  </si>
  <si>
    <t>Build NotificationCard Component</t>
  </si>
  <si>
    <t>FE-066</t>
  </si>
  <si>
    <t>Build VerificationBadge Component</t>
  </si>
  <si>
    <t>FE-067</t>
  </si>
  <si>
    <t>Build CategoryChips Component</t>
  </si>
  <si>
    <t>FE-068</t>
  </si>
  <si>
    <t>Build ActionButton Component</t>
  </si>
  <si>
    <t>FE-069</t>
  </si>
  <si>
    <t>Build EmptyState Component</t>
  </si>
  <si>
    <t>FE-070</t>
  </si>
  <si>
    <t>Build LoadingState Component</t>
  </si>
  <si>
    <t>FE-071</t>
  </si>
  <si>
    <t>Build Modal Component</t>
  </si>
  <si>
    <t>FE-072</t>
  </si>
  <si>
    <t>Build Dialog Component</t>
  </si>
  <si>
    <t>FE-073</t>
  </si>
  <si>
    <t>Cross-Cutting</t>
  </si>
  <si>
    <t>Navigation</t>
  </si>
  <si>
    <t>Configure Business Bottom Navigation (Home | Business | Suppliers | Orders | More)</t>
  </si>
  <si>
    <t>FE-074</t>
  </si>
  <si>
    <t>Configure Supplier Bottom Navigation (Home | Products | Orders | Customers | More)</t>
  </si>
  <si>
    <t>FE-075</t>
  </si>
  <si>
    <t>Implement role-based route guard/redirect after authentication</t>
  </si>
  <si>
    <t>FE-076</t>
  </si>
  <si>
    <t>Configure stack navigation drill-down within each tab (Document 02 §2.1)</t>
  </si>
  <si>
    <t>FE-077</t>
  </si>
  <si>
    <t>Theme</t>
  </si>
  <si>
    <t>Define type scale (Display/H1/H2/Body/Body Small/Caption — Document 02 §4)</t>
  </si>
  <si>
    <t>FE-078</t>
  </si>
  <si>
    <t>Define light color palette by functional role (Document 02 §5)</t>
  </si>
  <si>
    <t>FE-079</t>
  </si>
  <si>
    <t>Define dark mode palette (Document 02 §1.3 — future-ready, not required Phase 1)</t>
  </si>
  <si>
    <t>FE-080</t>
  </si>
  <si>
    <t>Define 4dp-based spacing scale (xs/sm/md/lg/xl — Document 02 §11)</t>
  </si>
  <si>
    <t>FE-081</t>
  </si>
  <si>
    <t>Integrate single line-style icon set app-wide (Document 02 §10)</t>
  </si>
  <si>
    <t>FE-082</t>
  </si>
  <si>
    <t>Accessibility</t>
  </si>
  <si>
    <t>Verify 4.5:1 minimum contrast ratio for body text (Document 02 §13)</t>
  </si>
  <si>
    <t>FE-083</t>
  </si>
  <si>
    <t>Add accessibilityLabel to every interactive element (Document 02 §13)</t>
  </si>
  <si>
    <t>FE-084</t>
  </si>
  <si>
    <t>Support OS-level dynamic font scaling without breaking layout (Document 02 §13)</t>
  </si>
  <si>
    <t>FE-085</t>
  </si>
  <si>
    <t>Animations</t>
  </si>
  <si>
    <t>Implement standard screen transition + tab-switch animations (Document 02 §12)</t>
  </si>
  <si>
    <t>FE-086</t>
  </si>
  <si>
    <t>Implement shimmer loading skeleton for card-shaped content (Document 02 §12)</t>
  </si>
  <si>
    <t>FE-087</t>
  </si>
  <si>
    <t>Implement brief status-change confirmation animation (e.g. order accepted — Document 02 §12)</t>
  </si>
  <si>
    <t>Create `users` table migration (columns, PK, FK, timestamps — Document 04)</t>
  </si>
  <si>
    <t>Create `roles` table migration (columns, PK, FK, timestamps — Document 04)</t>
  </si>
  <si>
    <t>Create `permissions` table migration (columns, PK, FK, timestamps — Document 04)</t>
  </si>
  <si>
    <t>Create `role_permissions` table migration (columns, PK, FK, timestamps — Document 04)</t>
  </si>
  <si>
    <t>Create `user_roles` table migration (columns, PK, FK, timestamps — Document 04)</t>
  </si>
  <si>
    <t>Create `refresh_tokens` table migration (columns, PK, FK, timestamps — Document 04)</t>
  </si>
  <si>
    <t>Create `login_history` table migration (columns, PK, FK, timestamps — Document 04)</t>
  </si>
  <si>
    <t>Create `password_reset_tokens` table migration (columns, PK, FK, timestamps — Document 04)</t>
  </si>
  <si>
    <t>Create `businesses` table migration (columns, PK, FK, timestamps — Document 04)</t>
  </si>
  <si>
    <t>Create `business_profiles` table migration (columns, PK, FK, timestamps — Document 04)</t>
  </si>
  <si>
    <t>Create `business_addresses` table migration (columns, PK, FK, timestamps — Document 04)</t>
  </si>
  <si>
    <t>Create `business_categories` table migration (columns, PK, FK, timestamps — Document 04)</t>
  </si>
  <si>
    <t>Create `business_documents` table migration (columns, PK, FK, timestamps — Document 04)</t>
  </si>
  <si>
    <t>Create `business_settings` table migration (columns, PK, FK, timestamps — Document 04)</t>
  </si>
  <si>
    <t>Create `business_bookmarks` table migration (columns, PK, FK, timestamps — Document 04)</t>
  </si>
  <si>
    <t>Create `suppliers` table migration (columns, PK, FK, timestamps — Document 04)</t>
  </si>
  <si>
    <t>Create `supplier_profiles` table migration (columns, PK, FK, timestamps — Document 04)</t>
  </si>
  <si>
    <t>Create `supplier_categories` table migration (columns, PK, FK, timestamps — Document 04)</t>
  </si>
  <si>
    <t>Create `supplier_products` table migration (columns, PK, FK, timestamps — Document 04)</t>
  </si>
  <si>
    <t>Create `supplier_product_images` table migration (columns, PK, FK, timestamps — Document 04)</t>
  </si>
  <si>
    <t>Create `supplier_delivery_regions` table migration (columns, PK, FK, timestamps — Document 04)</t>
  </si>
  <si>
    <t>Create `supplier_business_hours` table migration (columns, PK, FK, timestamps — Document 04)</t>
  </si>
  <si>
    <t>Create `supplier_updates` table migration (columns, PK, FK, timestamps — Document 04)</t>
  </si>
  <si>
    <t>Create `orders` table migration (columns, PK, FK, timestamps — Document 04)</t>
  </si>
  <si>
    <t>Create `order_items` table migration (columns, PK, FK, timestamps — Document 04)</t>
  </si>
  <si>
    <t>Create `business_questions` table migration (columns, PK, FK, timestamps — Document 04)</t>
  </si>
  <si>
    <t>Create `supplier_responses` table migration (columns, PK, FK, timestamps — Document 04)</t>
  </si>
  <si>
    <t>Create `product_views` table migration (columns, PK, FK, timestamps — Document 04)</t>
  </si>
  <si>
    <t>Create `saved_products` table migration (columns, PK, FK, timestamps — Document 04)</t>
  </si>
  <si>
    <t>Create `saved_suppliers` table migration (columns, PK, FK, timestamps — Document 04)</t>
  </si>
  <si>
    <t>Create `business_supplier_relationships` table migration (columns, PK, FK, timestamps — Document 04)</t>
  </si>
  <si>
    <t>Create `relationship_events` table migration (columns, PK, FK, timestamps — Document 04)</t>
  </si>
  <si>
    <t>Create `trust_signals` table migration (columns, PK, FK, timestamps — Document 04)</t>
  </si>
  <si>
    <t>Create `business_health_scores` table migration (columns, PK, FK, timestamps — Document 04)</t>
  </si>
  <si>
    <t>Create `supplier_reputation_scores` table migration (columns, PK, FK, timestamps — Document 04)</t>
  </si>
  <si>
    <t>Create `trust_score_history` table migration (columns, PK, FK, timestamps — Document 04)</t>
  </si>
  <si>
    <t>Create `verification_requests` table migration (columns, PK, FK, timestamps — Document 04)</t>
  </si>
  <si>
    <t>Create `verification_documents` table migration (columns, PK, FK, timestamps — Document 04)</t>
  </si>
  <si>
    <t>Create `verification_history` table migration (columns, PK, FK, timestamps — Document 04)</t>
  </si>
  <si>
    <t>Create `notifications` table migration (columns, PK, FK, timestamps — Document 04)</t>
  </si>
  <si>
    <t>Create `notification_preferences` table migration (columns, PK, FK, timestamps — Document 04)</t>
  </si>
  <si>
    <t>Create `audit_logs` table migration (columns, PK, FK, timestamps — Document 04)</t>
  </si>
  <si>
    <t>Create `system_settings` table migration (columns, PK, FK, timestamps — Document 04)</t>
  </si>
  <si>
    <t>Create `lookup_categories` table migration (columns, PK, FK, timestamps — Document 04)</t>
  </si>
  <si>
    <t>Create `provinces` table migration (columns, PK, FK, timestamps — Document 04)</t>
  </si>
  <si>
    <t>Create `cities` table migration (columns, PK, FK, timestamps — Document 04)</t>
  </si>
  <si>
    <t>DB-047</t>
  </si>
  <si>
    <t>Add composite primary key (role_id, permission_id) on `role_permissions`</t>
  </si>
  <si>
    <t>DB-048</t>
  </si>
  <si>
    <t>Add composite primary key (user_id, role_id) on `user_roles`</t>
  </si>
  <si>
    <t>DB-049</t>
  </si>
  <si>
    <t>Add unique constraint (business_id, supplier_id) on `business_bookmarks`</t>
  </si>
  <si>
    <t>DB-050</t>
  </si>
  <si>
    <t>Add unique constraint (business_id, product_id) on `saved_products`</t>
  </si>
  <si>
    <t>DB-051</t>
  </si>
  <si>
    <t>Add unique constraint (business_id, supplier_id) on `saved_suppliers`</t>
  </si>
  <si>
    <t>DB-052</t>
  </si>
  <si>
    <t>Add unique constraint (business_id, supplier_id) on `business_supplier_relationships`</t>
  </si>
  <si>
    <t>DB-053</t>
  </si>
  <si>
    <t>Soft Delete</t>
  </si>
  <si>
    <t>Add is_deleted/deleted_at columns to businesses, suppliers, orders, verification_requests (Document 04 §7 note 4)</t>
  </si>
  <si>
    <t>DB-054</t>
  </si>
  <si>
    <t>Audit Fields</t>
  </si>
  <si>
    <t>Verify created_at/updated_at defaults are present on every table (Document 04 §1)</t>
  </si>
  <si>
    <t>DB-055</t>
  </si>
  <si>
    <t>Seed Data</t>
  </si>
  <si>
    <t>Seed `roles` and `permissions` tables (business, supplier, admin, financial_partner — Document 04 §4.1)</t>
  </si>
  <si>
    <t>DB-056</t>
  </si>
  <si>
    <t>Seed `lookup_categories` reference data (applies_to: business, supplier, product — Document 04 §4.7)</t>
  </si>
  <si>
    <t>DB-057</t>
  </si>
  <si>
    <t>Seed `provinces` and `cities` reference data for South Africa (Document 04 §4.7)</t>
  </si>
  <si>
    <t>DB-058</t>
  </si>
  <si>
    <t>Future-Scoped Schema</t>
  </si>
  <si>
    <t>Reserve Financial Domain placeholder tables (wallets, wallet_transactions, credit_applications) per Document 04 §6 — no implementation in Phase 1</t>
  </si>
  <si>
    <t>API-001</t>
  </si>
  <si>
    <t>auth</t>
  </si>
  <si>
    <t>POST /auth/register — Create account; role assigned via user_roles at registration</t>
  </si>
  <si>
    <t>API-002</t>
  </si>
  <si>
    <t>POST /auth/login — Authenticate with email/password; record login_history; return JWT + refresh token</t>
  </si>
  <si>
    <t>API-003</t>
  </si>
  <si>
    <t>POST /auth/google — Authenticate/register via Google OAuth token; return JWT + refresh token</t>
  </si>
  <si>
    <t>API-004</t>
  </si>
  <si>
    <t>POST /auth/refresh — Exchange a valid refresh_token for a new JWT</t>
  </si>
  <si>
    <t>API-005</t>
  </si>
  <si>
    <t>POST /auth/logout — Revoke the current refresh_token</t>
  </si>
  <si>
    <t>API-006</t>
  </si>
  <si>
    <t>POST /auth/forgot-password — Initiate password reset flow; create password_reset_tokens entry</t>
  </si>
  <si>
    <t>API-007</t>
  </si>
  <si>
    <t>POST /auth/reset-password — Complete password reset flow using a valid reset token</t>
  </si>
  <si>
    <t>API-008</t>
  </si>
  <si>
    <t>GET /auth/me/roles — List roles assigned to the authenticated user</t>
  </si>
  <si>
    <t>API-009</t>
  </si>
  <si>
    <t>GET /auth/me/login-history — List recent login_history entries for the authenticated user</t>
  </si>
  <si>
    <t>API-010</t>
  </si>
  <si>
    <t>GET /businesses/me — Get authenticated business's own profile</t>
  </si>
  <si>
    <t>API-011</t>
  </si>
  <si>
    <t>PUT /businesses/me — Update own business profile</t>
  </si>
  <si>
    <t>API-012</t>
  </si>
  <si>
    <t>GET /businesses/me/dashboard — Aggregated dashboard payload (today's orders, pending orders, nearby suppliers, recommended products, recent activity)</t>
  </si>
  <si>
    <t>API-013</t>
  </si>
  <si>
    <t>GET /businesses/me/profile — Get own Digital Business Profile (read-only, system-generated)</t>
  </si>
  <si>
    <t>API-014</t>
  </si>
  <si>
    <t>GET /businesses/{id} — Get public-safe view of a business (supplier-facing, Business Privacy rules)</t>
  </si>
  <si>
    <t>API-015</t>
  </si>
  <si>
    <t>GET /businesses/me/addresses — List own business_addresses</t>
  </si>
  <si>
    <t>API-016</t>
  </si>
  <si>
    <t>POST /businesses/me/addresses — Add a new business address</t>
  </si>
  <si>
    <t>API-017</t>
  </si>
  <si>
    <t>PUT /businesses/me/addresses/{id} — Update a business address</t>
  </si>
  <si>
    <t>API-018</t>
  </si>
  <si>
    <t>DELETE /businesses/me/addresses/{id} — Remove a business address</t>
  </si>
  <si>
    <t>API-019</t>
  </si>
  <si>
    <t>PUT /businesses/me/addresses/{id}/primary — Set an address as primary/default</t>
  </si>
  <si>
    <t>API-020</t>
  </si>
  <si>
    <t>GET /businesses/me/categories — List own business_categories</t>
  </si>
  <si>
    <t>API-021</t>
  </si>
  <si>
    <t>PUT /businesses/me/categories — Update own business category assignment(s)</t>
  </si>
  <si>
    <t>API-022</t>
  </si>
  <si>
    <t>GET /businesses/me/documents — List own business_documents</t>
  </si>
  <si>
    <t>API-023</t>
  </si>
  <si>
    <t>POST /businesses/me/documents — Upload a new business document</t>
  </si>
  <si>
    <t>API-024</t>
  </si>
  <si>
    <t>DELETE /businesses/me/documents/{id} — Remove a business document</t>
  </si>
  <si>
    <t>API-025</t>
  </si>
  <si>
    <t>GET /businesses/me/settings — Get own business_settings</t>
  </si>
  <si>
    <t>API-026</t>
  </si>
  <si>
    <t>PUT /businesses/me/settings — Update own business_settings</t>
  </si>
  <si>
    <t>API-027</t>
  </si>
  <si>
    <t>POST /businesses/me/bookmarks — Create a business_bookmarks entry</t>
  </si>
  <si>
    <t>API-028</t>
  </si>
  <si>
    <t>DELETE /businesses/me/bookmarks/{id} — Remove a bookmark</t>
  </si>
  <si>
    <t>API-029</t>
  </si>
  <si>
    <t>GET /businesses/me/bookmarks — List own bookmarks</t>
  </si>
  <si>
    <t>API-030</t>
  </si>
  <si>
    <t>GET /suppliers/me — Get authenticated supplier's own profile</t>
  </si>
  <si>
    <t>API-031</t>
  </si>
  <si>
    <t>PUT /suppliers/me — Update own supplier profile</t>
  </si>
  <si>
    <t>API-032</t>
  </si>
  <si>
    <t>GET /suppliers/me/dashboard — Aggregated dashboard payload (orders, enquiries, top products, performance)</t>
  </si>
  <si>
    <t>API-033</t>
  </si>
  <si>
    <t>GET /suppliers/me/performance — Get own supplier_profiles performance statistics</t>
  </si>
  <si>
    <t>API-034</t>
  </si>
  <si>
    <t>GET /suppliers — List/search suppliers (business-facing discovery); filters: category, province, city, verified_only, keyword</t>
  </si>
  <si>
    <t>API-035</t>
  </si>
  <si>
    <t>GET /suppliers/{id} — Get public supplier profile (business-facing view)</t>
  </si>
  <si>
    <t>API-036</t>
  </si>
  <si>
    <t>GET /suppliers/featured — Featured suppliers list</t>
  </si>
  <si>
    <t>API-037</t>
  </si>
  <si>
    <t>GET /suppliers/nearby — Nearby suppliers based on business location</t>
  </si>
  <si>
    <t>API-038</t>
  </si>
  <si>
    <t>GET /suppliers/me/categories — List own supplier_categories</t>
  </si>
  <si>
    <t>API-039</t>
  </si>
  <si>
    <t>PUT /suppliers/me/categories — Update own supplier category assignment(s)</t>
  </si>
  <si>
    <t>API-040</t>
  </si>
  <si>
    <t>GET /suppliers/me/delivery-regions — List own supplier_delivery_regions</t>
  </si>
  <si>
    <t>API-041</t>
  </si>
  <si>
    <t>POST /suppliers/me/delivery-regions — Add a delivery region</t>
  </si>
  <si>
    <t>API-042</t>
  </si>
  <si>
    <t>DELETE /suppliers/me/delivery-regions/{id} — Remove a delivery region</t>
  </si>
  <si>
    <t>API-043</t>
  </si>
  <si>
    <t>GET /suppliers/me/business-hours — List own supplier_business_hours</t>
  </si>
  <si>
    <t>API-044</t>
  </si>
  <si>
    <t>PUT /suppliers/me/business-hours — Update business hours (full week payload)</t>
  </si>
  <si>
    <t>API-045</t>
  </si>
  <si>
    <t>products</t>
  </si>
  <si>
    <t>GET /products — Search/list supplier_products; filters: category, supplier_id, keyword, price range</t>
  </si>
  <si>
    <t>API-046</t>
  </si>
  <si>
    <t>GET /products/popular — Popular products listing</t>
  </si>
  <si>
    <t>API-047</t>
  </si>
  <si>
    <t>GET /products/recommended — Recommended products for the authenticated business</t>
  </si>
  <si>
    <t>API-048</t>
  </si>
  <si>
    <t>GET /products/{id} — Get product detail, including business_questions thread and images</t>
  </si>
  <si>
    <t>API-049</t>
  </si>
  <si>
    <t>POST /products — Create a supplier_products entry (supplier only)</t>
  </si>
  <si>
    <t>API-050</t>
  </si>
  <si>
    <t>PUT /products/{id} — Update a product (supplier only, own product)</t>
  </si>
  <si>
    <t>API-051</t>
  </si>
  <si>
    <t>DELETE /products/{id} — Soft-delete/unpublish a product (supplier only, own product)</t>
  </si>
  <si>
    <t>API-052</t>
  </si>
  <si>
    <t>PUT /products/{id}/availability — Toggle stock_status (supplier only)</t>
  </si>
  <si>
    <t>API-053</t>
  </si>
  <si>
    <t>POST /products/{id}/images — Add a supplier_product_images entry</t>
  </si>
  <si>
    <t>API-054</t>
  </si>
  <si>
    <t>DELETE /products/{id}/images/{image_id} — Remove a product image</t>
  </si>
  <si>
    <t>API-055</t>
  </si>
  <si>
    <t>supplier-updates</t>
  </si>
  <si>
    <t>POST /supplier-updates — Publish a new supplier_updates entry (supplier only)</t>
  </si>
  <si>
    <t>API-056</t>
  </si>
  <si>
    <t>GET /supplier-updates/mine — List own published updates (supplier only)</t>
  </si>
  <si>
    <t>API-057</t>
  </si>
  <si>
    <t>GET /suppliers/{id}/updates — List a supplier's published updates (business-facing, public)</t>
  </si>
  <si>
    <t>API-058</t>
  </si>
  <si>
    <t>POST /orders — Place a new order (business only)</t>
  </si>
  <si>
    <t>API-059</t>
  </si>
  <si>
    <t>GET /orders — List orders for the authenticated user, filterable by status</t>
  </si>
  <si>
    <t>API-060</t>
  </si>
  <si>
    <t>GET /orders/{id} — Get order detail, including order_items and delivery tracking status</t>
  </si>
  <si>
    <t>API-061</t>
  </si>
  <si>
    <t>PUT /orders/{id}/accept — Accept an order (supplier only)</t>
  </si>
  <si>
    <t>API-062</t>
  </si>
  <si>
    <t>PUT /orders/{id}/reject — Reject an order (supplier only, requires reason)</t>
  </si>
  <si>
    <t>API-063</t>
  </si>
  <si>
    <t>PUT /orders/{id}/cancel — Cancel an order (business only, subject to workflow rules)</t>
  </si>
  <si>
    <t>API-064</t>
  </si>
  <si>
    <t>PUT /orders/{id}/complete — Mark an order as completed</t>
  </si>
  <si>
    <t>API-065</t>
  </si>
  <si>
    <t>GET /orders/{id}/invoice — Retrieve invoice for a completed order</t>
  </si>
  <si>
    <t>API-066</t>
  </si>
  <si>
    <t>GET /orders/{id}/tracking — Retrieve delivery tracking status</t>
  </si>
  <si>
    <t>API-067</t>
  </si>
  <si>
    <t>POST /products/{id}/questions — Submit a business_questions entry on a product (business only)</t>
  </si>
  <si>
    <t>API-068</t>
  </si>
  <si>
    <t>GET /products/{id}/questions — List business_questions and their supplier_responses for a product (public)</t>
  </si>
  <si>
    <t>API-069</t>
  </si>
  <si>
    <t>questions</t>
  </si>
  <si>
    <t>POST /questions/{id}/responses — Submit a supplier_responses entry (supplier only, must own product)</t>
  </si>
  <si>
    <t>API-070</t>
  </si>
  <si>
    <t>GET /businesses/me/questions — List questions asked by the authenticated business</t>
  </si>
  <si>
    <t>API-071</t>
  </si>
  <si>
    <t>GET /suppliers/me/questions — List unanswered/answered questions across the supplier's products</t>
  </si>
  <si>
    <t>API-072</t>
  </si>
  <si>
    <t>POST /products/{id}/views — Record a product_views event (business only)</t>
  </si>
  <si>
    <t>API-073</t>
  </si>
  <si>
    <t>GET /businesses/me/recently-viewed — List recently viewed products</t>
  </si>
  <si>
    <t>API-074</t>
  </si>
  <si>
    <t>saved-products</t>
  </si>
  <si>
    <t>POST /saved-products — Save a product (business only)</t>
  </si>
  <si>
    <t>API-075</t>
  </si>
  <si>
    <t>DELETE /saved-products/{product_id} — Remove a saved product</t>
  </si>
  <si>
    <t>API-076</t>
  </si>
  <si>
    <t>GET /saved-products — List the authenticated business's saved products</t>
  </si>
  <si>
    <t>API-077</t>
  </si>
  <si>
    <t>saved-suppliers</t>
  </si>
  <si>
    <t>POST /saved-suppliers — Follow/save a supplier (business only)</t>
  </si>
  <si>
    <t>API-078</t>
  </si>
  <si>
    <t>DELETE /saved-suppliers/{supplier_id} — Unfollow/remove a saved supplier</t>
  </si>
  <si>
    <t>API-079</t>
  </si>
  <si>
    <t>GET /saved-suppliers — List the authenticated business's saved/followed suppliers</t>
  </si>
  <si>
    <t>API-080</t>
  </si>
  <si>
    <t>GET /businesses/me/relationships — List the authenticated business's business_supplier_relationships</t>
  </si>
  <si>
    <t>API-081</t>
  </si>
  <si>
    <t>GET /businesses/me/relationships/{supplier_id} — Get relationship detail with a specific supplier</t>
  </si>
  <si>
    <t>API-082</t>
  </si>
  <si>
    <t>GET /suppliers/me/relationships — List the authenticated supplier's relationships with businesses</t>
  </si>
  <si>
    <t>API-083</t>
  </si>
  <si>
    <t>GET /businesses/me/health-score — Get current business_health_scores entry</t>
  </si>
  <si>
    <t>API-084</t>
  </si>
  <si>
    <t>GET /businesses/me/health-score/history — Get trust_score_history for the authenticated business</t>
  </si>
  <si>
    <t>API-085</t>
  </si>
  <si>
    <t>GET /suppliers/me/reputation-score — Get current supplier_reputation_scores entry</t>
  </si>
  <si>
    <t>API-086</t>
  </si>
  <si>
    <t>GET /suppliers/me/reputation-score/history — Get trust_score_history for the authenticated supplier</t>
  </si>
  <si>
    <t>API-087</t>
  </si>
  <si>
    <t>verification</t>
  </si>
  <si>
    <t>POST /verification/requests — Submit a new verification_requests entry with documents</t>
  </si>
  <si>
    <t>API-088</t>
  </si>
  <si>
    <t>GET /verification/requests/mine — List the authenticated account's own verification requests</t>
  </si>
  <si>
    <t>API-089</t>
  </si>
  <si>
    <t>GET /verification/requests/{id} — Get a specific verification request, including documents and history</t>
  </si>
  <si>
    <t>API-090</t>
  </si>
  <si>
    <t>POST /verification/requests/{id}/documents — Add an additional supporting document to an existing request</t>
  </si>
  <si>
    <t>API-091</t>
  </si>
  <si>
    <t>GET /notifications — List notifications for the authenticated user, paginated</t>
  </si>
  <si>
    <t>API-092</t>
  </si>
  <si>
    <t>PUT /notifications/{id}/read — Mark a notification as read</t>
  </si>
  <si>
    <t>API-093</t>
  </si>
  <si>
    <t>PUT /notifications/read-all — Mark all notifications as read</t>
  </si>
  <si>
    <t>API-094</t>
  </si>
  <si>
    <t>GET /notifications/unread-count — Get unread notification count</t>
  </si>
  <si>
    <t>API-095</t>
  </si>
  <si>
    <t>notification-preferences</t>
  </si>
  <si>
    <t>GET /notification-preferences — Get the authenticated user's notification_preferences</t>
  </si>
  <si>
    <t>API-096</t>
  </si>
  <si>
    <t>PUT /notification-preferences — Update notification preferences (per type/channel)</t>
  </si>
  <si>
    <t>API-097</t>
  </si>
  <si>
    <t>categories</t>
  </si>
  <si>
    <t>GET /categories — List lookup_categories, filterable by applies_to</t>
  </si>
  <si>
    <t>API-098</t>
  </si>
  <si>
    <t>GET /provinces — List provinces</t>
  </si>
  <si>
    <t>API-099</t>
  </si>
  <si>
    <t>GET /provinces/{id}/cities — List cities within a province</t>
  </si>
  <si>
    <t>TE-001</t>
  </si>
  <si>
    <t>Digital Business Profile</t>
  </si>
  <si>
    <t>Calculate orders_count (completed orders only) — Document 07 §2</t>
  </si>
  <si>
    <t>Order/Question/Verification event pipeline</t>
  </si>
  <si>
    <t>TE-002</t>
  </si>
  <si>
    <t>Calculate suppliers_count (distinct suppliers with ≥1 completed order) — Document 07 §2</t>
  </si>
  <si>
    <t>TE-003</t>
  </si>
  <si>
    <t>Calculate average_order_value — Document 07 §2</t>
  </si>
  <si>
    <t>TE-004</t>
  </si>
  <si>
    <t>Calculate largest_order_value — Document 07 §2</t>
  </si>
  <si>
    <t>TE-005</t>
  </si>
  <si>
    <t>Calculate repeat_supplier_rate — Document 07 §2</t>
  </si>
  <si>
    <t>TE-006</t>
  </si>
  <si>
    <t>Calculate average_payment_time_days (Phase 1 proxy: order completion time) — Document 07 §2</t>
  </si>
  <si>
    <t>TE-007</t>
  </si>
  <si>
    <t>Calculate business_growth_percentage (rolling period volume/value change) — Document 07 §2</t>
  </si>
  <si>
    <t>TE-008</t>
  </si>
  <si>
    <t>Derive Risk Level (low/medium/high) from Trust + Risk Signals — Document 07 §2, §6</t>
  </si>
  <si>
    <t>TE-009</t>
  </si>
  <si>
    <t>Relationship Health</t>
  </si>
  <si>
    <t>Signal: order frequency between business-supplier pair — Document 07 §3</t>
  </si>
  <si>
    <t>TE-010</t>
  </si>
  <si>
    <t>Signal: recency of last interaction — Document 07 §3</t>
  </si>
  <si>
    <t>TE-011</t>
  </si>
  <si>
    <t>Signal: order completion rate within the pair — Document 07 §3</t>
  </si>
  <si>
    <t>TE-012</t>
  </si>
  <si>
    <t>Signal: Business Question responsiveness between the pair — Document 07 §3</t>
  </si>
  <si>
    <t>TE-013</t>
  </si>
  <si>
    <t>Composite relationship_health_score calculation — Document 07 §3</t>
  </si>
  <si>
    <t>TE-014</t>
  </si>
  <si>
    <t>Repeat Orders</t>
  </si>
  <si>
    <t>Weight repeat completed orders more heavily than first-time orders — Document 07 §4</t>
  </si>
  <si>
    <t>TE-015</t>
  </si>
  <si>
    <t>Product Views</t>
  </si>
  <si>
    <t>Feed "Recently Viewed" personalisation from product_views — Document 07 §5</t>
  </si>
  <si>
    <t>TE-016</t>
  </si>
  <si>
    <t>Feed product/supplier popularity ranking from product_views — Document 07 §5</t>
  </si>
  <si>
    <t>TE-017</t>
  </si>
  <si>
    <t>Store product_views as early-stage interest signal for future recommendation training — Document 07 §5</t>
  </si>
  <si>
    <t>TE-018</t>
  </si>
  <si>
    <t>Business Questions Signals</t>
  </si>
  <si>
    <t>Calculate average_response_time_minutes — Document 07 §6.2</t>
  </si>
  <si>
    <t>TE-019</t>
  </si>
  <si>
    <t>Calculate response_rate_percentage — Document 07 §6.2</t>
  </si>
  <si>
    <t>TE-020</t>
  </si>
  <si>
    <t>Score engagement signal for asking business — Document 07 §6.1</t>
  </si>
  <si>
    <t>TE-021</t>
  </si>
  <si>
    <t>Order Behaviour</t>
  </si>
  <si>
    <t>Track order frequency/volume trend per business — Document 07 §7</t>
  </si>
  <si>
    <t>TE-022</t>
  </si>
  <si>
    <t>Track sourcing concentration vs. diversification per business — Document 07 §7</t>
  </si>
  <si>
    <t>TE-023</t>
  </si>
  <si>
    <t>Track business-initiated cancellation rate — Document 07 §7</t>
  </si>
  <si>
    <t>TE-024</t>
  </si>
  <si>
    <t>Track order value consistency (variance over time) — Document 07 §7</t>
  </si>
  <si>
    <t>TE-025</t>
  </si>
  <si>
    <t>Track supplier acceptance rate of incoming orders — Document 07 §7</t>
  </si>
  <si>
    <t>TE-026</t>
  </si>
  <si>
    <t>Track supplier fulfilment completion rate — Document 07 §7</t>
  </si>
  <si>
    <t>TE-027</t>
  </si>
  <si>
    <t>Track supplier time from acceptance to completion — Document 07 §7</t>
  </si>
  <si>
    <t>TE-028</t>
  </si>
  <si>
    <t>Risk &amp; Trust Signals</t>
  </si>
  <si>
    <t>Populate `trust_signals` table from Trust Signal calculations — Document 07 §8</t>
  </si>
  <si>
    <t>TE-029</t>
  </si>
  <si>
    <t>Populate `trust_signals` table from Risk Signal calculations — Document 07 §8</t>
  </si>
  <si>
    <t>TE-030</t>
  </si>
  <si>
    <t>Business Health Score</t>
  </si>
  <si>
    <t>Weighted composite Business Health Score calculation (versioned methodology) — Document 07 §10</t>
  </si>
  <si>
    <t>TE-031</t>
  </si>
  <si>
    <t>Store methodology_version on business_health_scores for explainability — Document 07 §10</t>
  </si>
  <si>
    <t>TE-032</t>
  </si>
  <si>
    <t>Supplier Reputation</t>
  </si>
  <si>
    <t>Weighted composite Supplier Reputation calculation — Document 07 §11</t>
  </si>
  <si>
    <t>TE-033</t>
  </si>
  <si>
    <t>Trend History</t>
  </si>
  <si>
    <t>Append trust_score_history entry on every recalculation — Document 07 (Document 04 §4.5)</t>
  </si>
  <si>
    <t>TE-034</t>
  </si>
  <si>
    <t>Credit Readiness</t>
  </si>
  <si>
    <t>Define configurable Credit Readiness threshold parameters (Phase 3 prep, no UI in Phase 1) — Document 07 §13</t>
  </si>
  <si>
    <t>QA-001</t>
  </si>
  <si>
    <t>Unit Tests</t>
  </si>
  <si>
    <t>Auth unit &amp; integration tests — register, login, refresh, logout</t>
  </si>
  <si>
    <t>Corresponding implementation task complete</t>
  </si>
  <si>
    <t>QA-002</t>
  </si>
  <si>
    <t>Security Tests</t>
  </si>
  <si>
    <t>JWT validation &amp; role-based access control tests</t>
  </si>
  <si>
    <t>QA-003</t>
  </si>
  <si>
    <t>Business Service unit tests (profile CRUD, addresses, documents)</t>
  </si>
  <si>
    <t>QA-004</t>
  </si>
  <si>
    <t>Repository Tests</t>
  </si>
  <si>
    <t>Business Repository tests against seeded database</t>
  </si>
  <si>
    <t>QA-005</t>
  </si>
  <si>
    <t>Product Service unit tests (create/update/publish/soft-delete)</t>
  </si>
  <si>
    <t>QA-006</t>
  </si>
  <si>
    <t>Supplier Repository tests against seeded database</t>
  </si>
  <si>
    <t>QA-007</t>
  </si>
  <si>
    <t>Integration Tests</t>
  </si>
  <si>
    <t>Order lifecycle integration test (place → accept → complete)</t>
  </si>
  <si>
    <t>QA-008</t>
  </si>
  <si>
    <t>Order rejection workflow integration test</t>
  </si>
  <si>
    <t>QA-009</t>
  </si>
  <si>
    <t>Business Question + Supplier Response workflow test</t>
  </si>
  <si>
    <t>QA-010</t>
  </si>
  <si>
    <t>Business Rule Tests</t>
  </si>
  <si>
    <t>Enforce single-supplier-cart rule test (Document 06 §10)</t>
  </si>
  <si>
    <t>QA-011</t>
  </si>
  <si>
    <t>Enforce minimum order quantity validation test (Document 06 §10)</t>
  </si>
  <si>
    <t>QA-012</t>
  </si>
  <si>
    <t>Business Health Score calculation unit tests</t>
  </si>
  <si>
    <t>QA-013</t>
  </si>
  <si>
    <t>Relationship Health Score calculation unit tests</t>
  </si>
  <si>
    <t>QA-014</t>
  </si>
  <si>
    <t>Supplier Reputation calculation unit tests</t>
  </si>
  <si>
    <t>QA-015</t>
  </si>
  <si>
    <t>Verification approve/reject workflow test (Document 06 §3)</t>
  </si>
  <si>
    <t>QA-016</t>
  </si>
  <si>
    <t>Notification delivery rules test (Document 06 §18)</t>
  </si>
  <si>
    <t>QA-017</t>
  </si>
  <si>
    <t>API Tests</t>
  </si>
  <si>
    <t>Contract tests for all Authentication Domain endpoints</t>
  </si>
  <si>
    <t>QA-018</t>
  </si>
  <si>
    <t>Contract tests for all Business Domain endpoints</t>
  </si>
  <si>
    <t>QA-019</t>
  </si>
  <si>
    <t>Contract tests for all Supplier Domain endpoints</t>
  </si>
  <si>
    <t>QA-020</t>
  </si>
  <si>
    <t>Contract tests for all Marketplace Domain endpoints</t>
  </si>
  <si>
    <t>QA-021</t>
  </si>
  <si>
    <t>Contract tests for all Trust Domain endpoints</t>
  </si>
  <si>
    <t>QA-022</t>
  </si>
  <si>
    <t>Contract tests for all Verification Domain endpoints</t>
  </si>
  <si>
    <t>QA-023</t>
  </si>
  <si>
    <t>Contract tests for all Platform Domain endpoints</t>
  </si>
  <si>
    <t>QA-024</t>
  </si>
  <si>
    <t>Validation Tests</t>
  </si>
  <si>
    <t>Pagination + list envelope tests across every list endpoint (Document 05 §1)</t>
  </si>
  <si>
    <t>QA-025</t>
  </si>
  <si>
    <t>UI Tests</t>
  </si>
  <si>
    <t>Business registration + login flow UI test</t>
  </si>
  <si>
    <t>QA-026</t>
  </si>
  <si>
    <t>Supplier product create/edit flow UI test</t>
  </si>
  <si>
    <t>QA-027</t>
  </si>
  <si>
    <t>Place order end-to-end UI test</t>
  </si>
  <si>
    <t>QA-028</t>
  </si>
  <si>
    <t>Business Question ask/respond UI test</t>
  </si>
  <si>
    <t>QA-029</t>
  </si>
  <si>
    <t>Offline/loading/empty state rendering test across list screens (Document 02 §2.3)</t>
  </si>
  <si>
    <t>QA-030</t>
  </si>
  <si>
    <t>Data Integrity Tests</t>
  </si>
  <si>
    <t>Soft-delete integrity test (order history preserved after product delete)</t>
  </si>
  <si>
    <t>QA-031</t>
  </si>
  <si>
    <t>Unique constraint tests (saved_suppliers, saved_products, business_bookmarks)</t>
  </si>
  <si>
    <t>QA-032</t>
  </si>
  <si>
    <t>Performance</t>
  </si>
  <si>
    <t>Load Tests</t>
  </si>
  <si>
    <t>Load test on supplier discovery search under concurrent business traffic</t>
  </si>
  <si>
    <t>QA-033</t>
  </si>
  <si>
    <t>Load test on async Trust recalculation job queue</t>
  </si>
  <si>
    <t>QA-034</t>
  </si>
  <si>
    <t>Security</t>
  </si>
  <si>
    <t>SQL injection &amp; input sanitisation sweep across all write endpoints</t>
  </si>
  <si>
    <t>QA-035</t>
  </si>
  <si>
    <t>Resource-ownership authorization test (supplier cannot edit another supplier's product)</t>
  </si>
  <si>
    <t>OPS-001</t>
  </si>
  <si>
    <t>Platform Infrastructure</t>
  </si>
  <si>
    <t>Environment</t>
  </si>
  <si>
    <t>Define environment variable schema (.env.example) for backend and mobile</t>
  </si>
  <si>
    <t>OPS-002</t>
  </si>
  <si>
    <t>Separate development / staging / production configuration profiles</t>
  </si>
  <si>
    <t>OPS-003</t>
  </si>
  <si>
    <t>Containerization</t>
  </si>
  <si>
    <t>Dockerize Flask backend service</t>
  </si>
  <si>
    <t>OPS-004</t>
  </si>
  <si>
    <t>Dockerize PostgreSQL with persistent volume</t>
  </si>
  <si>
    <t>OPS-005</t>
  </si>
  <si>
    <t>CI/CD</t>
  </si>
  <si>
    <t>CI pipeline — lint + unit test on every pull request</t>
  </si>
  <si>
    <t>OPS-006</t>
  </si>
  <si>
    <t>CI pipeline — build backend Docker image on merge to main</t>
  </si>
  <si>
    <t>OPS-007</t>
  </si>
  <si>
    <t>CD pipeline — deploy backend to staging environment</t>
  </si>
  <si>
    <t>OPS-008</t>
  </si>
  <si>
    <t>CD pipeline — deploy backend to production with manual approval gate</t>
  </si>
  <si>
    <t>OPS-009</t>
  </si>
  <si>
    <t>Database Ops</t>
  </si>
  <si>
    <t>Automated database migration pipeline (apply on deploy)</t>
  </si>
  <si>
    <t>OPS-010</t>
  </si>
  <si>
    <t>Automated nightly database backups with retention policy</t>
  </si>
  <si>
    <t>OPS-011</t>
  </si>
  <si>
    <t>Observability</t>
  </si>
  <si>
    <t>Structured logging pipeline (aggregation + retention)</t>
  </si>
  <si>
    <t>OPS-012</t>
  </si>
  <si>
    <t>Application monitoring &amp; alerting (error rate, latency)</t>
  </si>
  <si>
    <t>OPS-013</t>
  </si>
  <si>
    <t>Health check endpoint for backend service</t>
  </si>
  <si>
    <t>OPS-014</t>
  </si>
  <si>
    <t>Secrets management (API keys, JWT signing keys, DB credentials)</t>
  </si>
  <si>
    <t>OPS-015</t>
  </si>
  <si>
    <t>API Governance</t>
  </si>
  <si>
    <t>Document /api/v1 versioning strategy for additive, non-breaking expansion (Document 05 §1)</t>
  </si>
  <si>
    <t>FUT-001</t>
  </si>
  <si>
    <t>Deferred Phase 1 Endpoints</t>
  </si>
  <si>
    <t>Authentication</t>
  </si>
  <si>
    <t>Implement POST /auth/phone/request-otp (Document 05 §5.1, future)</t>
  </si>
  <si>
    <t>Phase 1 completion</t>
  </si>
  <si>
    <t>FUT-002</t>
  </si>
  <si>
    <t>Implement POST /auth/phone/verify-otp (Document 05 §5.1, future)</t>
  </si>
  <si>
    <t>FUT-003</t>
  </si>
  <si>
    <t>Implement biometric registration/verification endpoints (Document 05 §5.1, future)</t>
  </si>
  <si>
    <t>FUT-004</t>
  </si>
  <si>
    <t>Implement passkey registration endpoints (Document 05 §5.1, future)</t>
  </si>
  <si>
    <t>FUT-005</t>
  </si>
  <si>
    <t>Admin (Platform Administrator role)</t>
  </si>
  <si>
    <t>Implement GET/PUT /admin/roles, /admin/users/{id}/roles (Document 05 §5.1, Document 01 §9.3)</t>
  </si>
  <si>
    <t>FUT-006</t>
  </si>
  <si>
    <t>Implement PUT/GET /admin/verification/requests (Document 05 §5.6, Document 01 §9.3)</t>
  </si>
  <si>
    <t>FUT-007</t>
  </si>
  <si>
    <t>Implement GET /admin/audit-logs, /admin/system-settings (Document 05 §5.7, Document 01 §9.3)</t>
  </si>
  <si>
    <t>FUT-008</t>
  </si>
  <si>
    <t>Financial Partner role</t>
  </si>
  <si>
    <t>Design read-only Financial Partner access model (Document 01 §9.3, Phase 4)</t>
  </si>
  <si>
    <t>FUT-009</t>
  </si>
  <si>
    <t>Phase 2 — Payments, Wallet, Insights</t>
  </si>
  <si>
    <t>Payments</t>
  </si>
  <si>
    <t>Design and implement in-app payment processing for orders (Document 08)</t>
  </si>
  <si>
    <t>FUT-010</t>
  </si>
  <si>
    <t>Wallet</t>
  </si>
  <si>
    <t>Design Wallet data model in a new Financial Domain (Document 04 §6, Document 08)</t>
  </si>
  <si>
    <t>FUT-011</t>
  </si>
  <si>
    <t>Implement wallet_transactions ledger (Document 04 §6)</t>
  </si>
  <si>
    <t>FUT-012</t>
  </si>
  <si>
    <t>Business Insights</t>
  </si>
  <si>
    <t>Build Business Insights analytics module on top of Digital Business Profile (Document 08)</t>
  </si>
  <si>
    <t>FUT-013</t>
  </si>
  <si>
    <t>Supplier Analytics</t>
  </si>
  <si>
    <t>Build Supplier Analytics module (demand trends, retention, response-time benchmarking) (Document 08)</t>
  </si>
  <si>
    <t>FUT-014</t>
  </si>
  <si>
    <t>Trust Engine Refinement</t>
  </si>
  <si>
    <t>Replace Average Payment Time proxy with real payment timestamps once Wallet ships (Document 07 §2, Document 08)</t>
  </si>
  <si>
    <t>FUT-015</t>
  </si>
  <si>
    <t>Phase 3 — Credit &amp; Trade Finance</t>
  </si>
  <si>
    <t>Credit</t>
  </si>
  <si>
    <t>Design short-term stock financing credit facility (Document 08)</t>
  </si>
  <si>
    <t>FUT-016</t>
  </si>
  <si>
    <t>Trade Finance</t>
  </si>
  <si>
    <t>Design trade finance instruments for recurring supplier transactions (Document 08)</t>
  </si>
  <si>
    <t>FUT-017</t>
  </si>
  <si>
    <t>Working Capital</t>
  </si>
  <si>
    <t>Design supplier working capital facility based on Supplier Reputation (Document 08)</t>
  </si>
  <si>
    <t>FUT-018</t>
  </si>
  <si>
    <t>Underwriting</t>
  </si>
  <si>
    <t>Design underwriting/risk model consuming Trust Signals + Risk Signals (Document 07 §13, Document 08)</t>
  </si>
  <si>
    <t>FUT-019</t>
  </si>
  <si>
    <t>Enforce Credit Readiness thresholds as eligibility gate (Document 07 §13)</t>
  </si>
  <si>
    <t>FUT-020</t>
  </si>
  <si>
    <t>Compliance</t>
  </si>
  <si>
    <t>Regulatory and compliance readiness review for credit products (Document 08)</t>
  </si>
  <si>
    <t>FUT-021</t>
  </si>
  <si>
    <t>Phase 4 — Partner APIs &amp; Open Platform</t>
  </si>
  <si>
    <t>Partner APIs</t>
  </si>
  <si>
    <t>Design permissioned Partner API surface for external data access (Document 08, Document 09 §5)</t>
  </si>
  <si>
    <t>FUT-022</t>
  </si>
  <si>
    <t>Financial Institutions</t>
  </si>
  <si>
    <t>Build financial institution integration layer for credit/insurance/savings origination (Document 08)</t>
  </si>
  <si>
    <t>FUT-023</t>
  </si>
  <si>
    <t>Data Governance</t>
  </si>
  <si>
    <t>Build data governance, consent, and privacy infrastructure for external sharing (Document 08)</t>
  </si>
  <si>
    <t>FUT-024</t>
  </si>
  <si>
    <t>Open Platform Expansion</t>
  </si>
  <si>
    <t>Evaluate adjacent ecosystem services (logistics, insurance) on shared trust infrastructure (Document 08)</t>
  </si>
  <si>
    <t>SOURCE OF TRUTH</t>
  </si>
  <si>
    <t>Every task in this workbook is derived directly from Documents 00–09 (Project Vision, Product Specification, System UI/UX Specification, Frontend Component Specification, Database Design, Backend API Specification, Business Rules &amp; Workflows, Data and Trust Engine, Product Roadmap, Ecosystem Strategy).</t>
  </si>
  <si>
    <t>DELIBERATE SCOPE EXCLUSIONS</t>
  </si>
  <si>
    <t>The roadmap-generator prompt template requested sheets/tasks for OCR, Receipt Upload, Invoice Parsing, a Credit Scoring/ML Engine, Fraud Detection, and a general-purpose Analytics Engine. None of these appear anywhere in Documents 00–09: Document 07 (Data and Trust Engine) explicitly states Phase 1 uses transparent, rule-based calculations, not ML models (§9), and Document 08 (Product Roadmap) does not mention receipts, OCR, or invoice parsing at any phase. Per the explicit instruction "Never invent features," this workbook does not include tasks for functionality that has no basis in the documentation. If TRU Connect intends to build these, they need their own source-of-truth documentation first — at that point this workbook can be extended with matching sheets.</t>
  </si>
  <si>
    <t>GROUNDED PROGRESS</t>
  </si>
  <si>
    <t>A handful of tasks are pre-marked "In Progress" or "Complete" rather than "Not Started", based on the current repository tree (structure.txt) supplied in this conversation: the Authentication Domain already has scaffolded backend files (user.py, user_repository.py, auth_service.py, auth_routes.py, auth_schemas.py, test_auth.py), backend core infrastructure files exist (config.py, extensions.py, base_model.py, decorators.py, exceptions.py, responses.py, logger.py, security.py), and the Supplier Product Catalogue frontend feature (screens, components, hooks, services, api) has been fully generated. Everything else defaults to Not Started — recalibrate freely as work actually progresses.</t>
  </si>
  <si>
    <t>ID SCHEME</t>
  </si>
  <si>
    <t>DB-xxx Database  ·  BE-xxx Backend  ·  API-xxx API  ·  FE-xxx Frontend  ·  TE-xxx Trust Engine  ·  QA-xxx Testing  ·  OPS-xxx DevOps  ·  FUT-xxx Future Phases (2–4).</t>
  </si>
  <si>
    <t>DEPENDENCIES COLUMN</t>
  </si>
  <si>
    <t>Dependencies point to the most relevant upstream task or artifact (e.g. a Database migration ID a Backend model depends on). They are indicative of build order, not an exhaustive dependency graph — recalibrate during sprint planning.</t>
  </si>
  <si>
    <t>HOW TO USE THIS WORKBOOK</t>
  </si>
  <si>
    <t>3. Fill in "Assigned To" as the team takes ownership of tasks; it is intentionally left blank in this initial extraction.</t>
  </si>
  <si>
    <t>4. Filter any sheet by Module, Priority, or Status using Excel's AutoFilter (enable via Data &gt; Filter) to scope a sprint.</t>
  </si>
  <si>
    <t>TRU CONNECT: ENGINEERING ROADMAP: NOTES &amp; ASSUMPTIONS</t>
  </si>
  <si>
    <t>1. Update the Status cell on each task as work progresses, use the dropdown (data validation) rather than typing free text, so the  Dashboard formulas keep working.</t>
  </si>
  <si>
    <t>2. The  Dashboard sheet recalculates automatically from every other sheet's Status column, no manual totals to maintain.</t>
  </si>
  <si>
    <t>TRU CONNECT: ENGINEERING ROADMAP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</si>
</sst>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charset val="1"/>
    </font>
    <font>
      <b/>
      <sz val="16"/>
      <color rgb="FF1F3864"/>
      <name val="Arial"/>
      <charset val="1"/>
    </font>
    <font>
      <i/>
      <sz val="10"/>
      <color rgb="FF595959"/>
      <name val="Arial"/>
      <charset val="1"/>
    </font>
    <font>
      <b/>
      <sz val="11"/>
      <color rgb="FFFFFFFF"/>
      <name val="Arial"/>
      <charset val="1"/>
    </font>
    <font>
      <sz val="10"/>
      <name val="Arial"/>
      <charset val="1"/>
    </font>
    <font>
      <b/>
      <sz val="11"/>
      <name val="Arial"/>
      <charset val="1"/>
    </font>
    <font>
      <b/>
      <sz val="14"/>
      <color rgb="FF1F3864"/>
      <name val="Arial"/>
      <charset val="1"/>
    </font>
    <font>
      <sz val="10"/>
      <color rgb="FF000000"/>
      <name val="Arial"/>
      <charset val="1"/>
    </font>
    <font>
      <b/>
      <sz val="12"/>
      <color rgb="FF1F3864"/>
      <name val="Arial"/>
      <charset val="1"/>
    </font>
  </fonts>
  <fills count="10">
    <fill>
      <patternFill patternType="none"/>
    </fill>
    <fill>
      <patternFill patternType="gray125"/>
    </fill>
    <fill>
      <patternFill patternType="solid">
        <fgColor rgb="FF1F3864"/>
        <bgColor rgb="FF333333"/>
      </patternFill>
    </fill>
    <fill>
      <patternFill patternType="solid">
        <fgColor rgb="FFF4CCCC"/>
        <bgColor rgb="FFE1D5F0"/>
      </patternFill>
    </fill>
    <fill>
      <patternFill patternType="solid">
        <fgColor rgb="FFF2F2F2"/>
        <bgColor rgb="FFFFFFFF"/>
      </patternFill>
    </fill>
    <fill>
      <patternFill patternType="solid">
        <fgColor rgb="FFFCE5CD"/>
        <bgColor rgb="FFFFF2CC"/>
      </patternFill>
    </fill>
    <fill>
      <patternFill patternType="solid">
        <fgColor rgb="FFCFE2F3"/>
        <bgColor rgb="FFD9EAD3"/>
      </patternFill>
    </fill>
    <fill>
      <patternFill patternType="solid">
        <fgColor rgb="FFFFF2CC"/>
        <bgColor rgb="FFFCE5CD"/>
      </patternFill>
    </fill>
    <fill>
      <patternFill patternType="solid">
        <fgColor rgb="FFD9EAD3"/>
        <bgColor rgb="FFCFE2F3"/>
      </patternFill>
    </fill>
    <fill>
      <patternFill patternType="solid">
        <fgColor rgb="FFE1D5F0"/>
        <bgColor rgb="FFCFE2F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2">
    <xf numFmtId="0" fontId="0" fillId="0" borderId="0" xfId="0"/>
    <xf numFmtId="0" fontId="2" fillId="0" borderId="0" xfId="0" applyFont="1"/>
    <xf numFmtId="0" fontId="1" fillId="0" borderId="0" xfId="0" applyFont="1"/>
    <xf numFmtId="0" fontId="3" fillId="2" borderId="1" xfId="0" applyFont="1" applyFill="1" applyBorder="1" applyAlignment="1">
      <alignment horizontal="center" vertical="center" wrapText="1"/>
    </xf>
    <xf numFmtId="0" fontId="4" fillId="0" borderId="1" xfId="0" applyFont="1" applyBorder="1"/>
    <xf numFmtId="0" fontId="4" fillId="0" borderId="1" xfId="0" applyFont="1" applyBorder="1" applyAlignment="1">
      <alignment horizontal="center"/>
    </xf>
    <xf numFmtId="164" fontId="4" fillId="0" borderId="1" xfId="0" applyNumberFormat="1" applyFont="1" applyBorder="1" applyAlignment="1">
      <alignment horizontal="center"/>
    </xf>
    <xf numFmtId="0" fontId="5" fillId="0" borderId="0" xfId="0" applyFont="1"/>
    <xf numFmtId="0" fontId="5" fillId="0" borderId="1" xfId="0" applyFont="1" applyBorder="1" applyAlignment="1">
      <alignment horizontal="center"/>
    </xf>
    <xf numFmtId="164" fontId="5" fillId="0" borderId="1" xfId="0" applyNumberFormat="1" applyFont="1" applyBorder="1" applyAlignment="1">
      <alignment horizontal="center"/>
    </xf>
    <xf numFmtId="0" fontId="4" fillId="3" borderId="1" xfId="0" applyFont="1" applyFill="1" applyBorder="1"/>
    <xf numFmtId="0" fontId="4" fillId="4" borderId="1" xfId="0" applyFont="1" applyFill="1" applyBorder="1"/>
    <xf numFmtId="0" fontId="4" fillId="5" borderId="1" xfId="0" applyFont="1" applyFill="1" applyBorder="1"/>
    <xf numFmtId="0" fontId="4" fillId="6" borderId="1" xfId="0" applyFont="1" applyFill="1" applyBorder="1"/>
    <xf numFmtId="0" fontId="4" fillId="7" borderId="1" xfId="0" applyFont="1" applyFill="1" applyBorder="1"/>
    <xf numFmtId="0" fontId="4" fillId="8" borderId="1" xfId="0" applyFont="1" applyFill="1" applyBorder="1"/>
    <xf numFmtId="0" fontId="4" fillId="9" borderId="1" xfId="0" applyFont="1" applyFill="1" applyBorder="1"/>
    <xf numFmtId="0" fontId="4" fillId="0" borderId="1" xfId="0" applyFont="1" applyBorder="1" applyAlignment="1">
      <alignment horizontal="left" vertical="center"/>
    </xf>
    <xf numFmtId="0" fontId="4" fillId="0" borderId="1" xfId="0" applyFont="1" applyBorder="1" applyAlignment="1">
      <alignment horizontal="left" vertical="center" wrapText="1"/>
    </xf>
    <xf numFmtId="0" fontId="6" fillId="0" borderId="0" xfId="0" applyFont="1" applyAlignment="1">
      <alignment vertical="top" wrapText="1"/>
    </xf>
    <xf numFmtId="0" fontId="7" fillId="0" borderId="0" xfId="0" applyFont="1" applyAlignment="1">
      <alignment vertical="top" wrapText="1"/>
    </xf>
    <xf numFmtId="0" fontId="8" fillId="0" borderId="0" xfId="0" applyFont="1" applyAlignment="1">
      <alignment vertical="top" wrapText="1"/>
    </xf>
  </cellXfs>
  <cellStyles count="1">
    <cellStyle name="Normal" xfId="0" builtinId="0"/>
  </cellStyles>
  <dxfs count="80">
    <dxf>
      <fill>
        <patternFill>
          <bgColor rgb="FFF4CCCC"/>
        </patternFill>
      </fill>
    </dxf>
    <dxf>
      <fill>
        <patternFill>
          <bgColor rgb="FFD9EAD3"/>
        </patternFill>
      </fill>
    </dxf>
    <dxf>
      <fill>
        <patternFill>
          <bgColor rgb="FFE1D5F0"/>
        </patternFill>
      </fill>
    </dxf>
    <dxf>
      <fill>
        <patternFill>
          <bgColor rgb="FFFFF2CC"/>
        </patternFill>
      </fill>
    </dxf>
    <dxf>
      <fill>
        <patternFill>
          <bgColor rgb="FFCFE2F3"/>
        </patternFill>
      </fill>
    </dxf>
    <dxf>
      <fill>
        <patternFill>
          <bgColor rgb="FFF2F2F2"/>
        </patternFill>
      </fill>
    </dxf>
    <dxf>
      <fill>
        <patternFill>
          <bgColor rgb="FFD9EAD3"/>
        </patternFill>
      </fill>
    </dxf>
    <dxf>
      <fill>
        <patternFill>
          <bgColor rgb="FFFFF2CC"/>
        </patternFill>
      </fill>
    </dxf>
    <dxf>
      <fill>
        <patternFill>
          <bgColor rgb="FFFCE5CD"/>
        </patternFill>
      </fill>
    </dxf>
    <dxf>
      <fill>
        <patternFill>
          <bgColor rgb="FFF4CCCC"/>
        </patternFill>
      </fill>
    </dxf>
    <dxf>
      <fill>
        <patternFill>
          <bgColor rgb="FFF4CCCC"/>
        </patternFill>
      </fill>
    </dxf>
    <dxf>
      <fill>
        <patternFill>
          <bgColor rgb="FFD9EAD3"/>
        </patternFill>
      </fill>
    </dxf>
    <dxf>
      <fill>
        <patternFill>
          <bgColor rgb="FFE1D5F0"/>
        </patternFill>
      </fill>
    </dxf>
    <dxf>
      <fill>
        <patternFill>
          <bgColor rgb="FFFFF2CC"/>
        </patternFill>
      </fill>
    </dxf>
    <dxf>
      <fill>
        <patternFill>
          <bgColor rgb="FFCFE2F3"/>
        </patternFill>
      </fill>
    </dxf>
    <dxf>
      <fill>
        <patternFill>
          <bgColor rgb="FFF2F2F2"/>
        </patternFill>
      </fill>
    </dxf>
    <dxf>
      <fill>
        <patternFill>
          <bgColor rgb="FFD9EAD3"/>
        </patternFill>
      </fill>
    </dxf>
    <dxf>
      <fill>
        <patternFill>
          <bgColor rgb="FFFFF2CC"/>
        </patternFill>
      </fill>
    </dxf>
    <dxf>
      <fill>
        <patternFill>
          <bgColor rgb="FFFCE5CD"/>
        </patternFill>
      </fill>
    </dxf>
    <dxf>
      <fill>
        <patternFill>
          <bgColor rgb="FFF4CCCC"/>
        </patternFill>
      </fill>
    </dxf>
    <dxf>
      <fill>
        <patternFill>
          <bgColor rgb="FFF4CCCC"/>
        </patternFill>
      </fill>
    </dxf>
    <dxf>
      <fill>
        <patternFill>
          <bgColor rgb="FFD9EAD3"/>
        </patternFill>
      </fill>
    </dxf>
    <dxf>
      <fill>
        <patternFill>
          <bgColor rgb="FFE1D5F0"/>
        </patternFill>
      </fill>
    </dxf>
    <dxf>
      <fill>
        <patternFill>
          <bgColor rgb="FFFFF2CC"/>
        </patternFill>
      </fill>
    </dxf>
    <dxf>
      <fill>
        <patternFill>
          <bgColor rgb="FFCFE2F3"/>
        </patternFill>
      </fill>
    </dxf>
    <dxf>
      <fill>
        <patternFill>
          <bgColor rgb="FFF2F2F2"/>
        </patternFill>
      </fill>
    </dxf>
    <dxf>
      <fill>
        <patternFill>
          <bgColor rgb="FFD9EAD3"/>
        </patternFill>
      </fill>
    </dxf>
    <dxf>
      <fill>
        <patternFill>
          <bgColor rgb="FFFFF2CC"/>
        </patternFill>
      </fill>
    </dxf>
    <dxf>
      <fill>
        <patternFill>
          <bgColor rgb="FFFCE5CD"/>
        </patternFill>
      </fill>
    </dxf>
    <dxf>
      <fill>
        <patternFill>
          <bgColor rgb="FFF4CCCC"/>
        </patternFill>
      </fill>
    </dxf>
    <dxf>
      <fill>
        <patternFill>
          <bgColor rgb="FFF4CCCC"/>
        </patternFill>
      </fill>
    </dxf>
    <dxf>
      <fill>
        <patternFill>
          <bgColor rgb="FFD9EAD3"/>
        </patternFill>
      </fill>
    </dxf>
    <dxf>
      <fill>
        <patternFill>
          <bgColor rgb="FFE1D5F0"/>
        </patternFill>
      </fill>
    </dxf>
    <dxf>
      <fill>
        <patternFill>
          <bgColor rgb="FFFFF2CC"/>
        </patternFill>
      </fill>
    </dxf>
    <dxf>
      <fill>
        <patternFill>
          <bgColor rgb="FFCFE2F3"/>
        </patternFill>
      </fill>
    </dxf>
    <dxf>
      <fill>
        <patternFill>
          <bgColor rgb="FFF2F2F2"/>
        </patternFill>
      </fill>
    </dxf>
    <dxf>
      <fill>
        <patternFill>
          <bgColor rgb="FFD9EAD3"/>
        </patternFill>
      </fill>
    </dxf>
    <dxf>
      <fill>
        <patternFill>
          <bgColor rgb="FFFFF2CC"/>
        </patternFill>
      </fill>
    </dxf>
    <dxf>
      <fill>
        <patternFill>
          <bgColor rgb="FFFCE5CD"/>
        </patternFill>
      </fill>
    </dxf>
    <dxf>
      <fill>
        <patternFill>
          <bgColor rgb="FFF4CCCC"/>
        </patternFill>
      </fill>
    </dxf>
    <dxf>
      <fill>
        <patternFill>
          <bgColor rgb="FFF4CCCC"/>
        </patternFill>
      </fill>
    </dxf>
    <dxf>
      <fill>
        <patternFill>
          <bgColor rgb="FFD9EAD3"/>
        </patternFill>
      </fill>
    </dxf>
    <dxf>
      <fill>
        <patternFill>
          <bgColor rgb="FFE1D5F0"/>
        </patternFill>
      </fill>
    </dxf>
    <dxf>
      <fill>
        <patternFill>
          <bgColor rgb="FFFFF2CC"/>
        </patternFill>
      </fill>
    </dxf>
    <dxf>
      <fill>
        <patternFill>
          <bgColor rgb="FFCFE2F3"/>
        </patternFill>
      </fill>
    </dxf>
    <dxf>
      <fill>
        <patternFill>
          <bgColor rgb="FFF2F2F2"/>
        </patternFill>
      </fill>
    </dxf>
    <dxf>
      <fill>
        <patternFill>
          <bgColor rgb="FFD9EAD3"/>
        </patternFill>
      </fill>
    </dxf>
    <dxf>
      <fill>
        <patternFill>
          <bgColor rgb="FFFFF2CC"/>
        </patternFill>
      </fill>
    </dxf>
    <dxf>
      <fill>
        <patternFill>
          <bgColor rgb="FFFCE5CD"/>
        </patternFill>
      </fill>
    </dxf>
    <dxf>
      <fill>
        <patternFill>
          <bgColor rgb="FFF4CCCC"/>
        </patternFill>
      </fill>
    </dxf>
    <dxf>
      <fill>
        <patternFill>
          <bgColor rgb="FFF4CCCC"/>
        </patternFill>
      </fill>
    </dxf>
    <dxf>
      <fill>
        <patternFill>
          <bgColor rgb="FFD9EAD3"/>
        </patternFill>
      </fill>
    </dxf>
    <dxf>
      <fill>
        <patternFill>
          <bgColor rgb="FFE1D5F0"/>
        </patternFill>
      </fill>
    </dxf>
    <dxf>
      <fill>
        <patternFill>
          <bgColor rgb="FFFFF2CC"/>
        </patternFill>
      </fill>
    </dxf>
    <dxf>
      <fill>
        <patternFill>
          <bgColor rgb="FFCFE2F3"/>
        </patternFill>
      </fill>
    </dxf>
    <dxf>
      <fill>
        <patternFill>
          <bgColor rgb="FFF2F2F2"/>
        </patternFill>
      </fill>
    </dxf>
    <dxf>
      <fill>
        <patternFill>
          <bgColor rgb="FFD9EAD3"/>
        </patternFill>
      </fill>
    </dxf>
    <dxf>
      <fill>
        <patternFill>
          <bgColor rgb="FFFFF2CC"/>
        </patternFill>
      </fill>
    </dxf>
    <dxf>
      <fill>
        <patternFill>
          <bgColor rgb="FFFCE5CD"/>
        </patternFill>
      </fill>
    </dxf>
    <dxf>
      <fill>
        <patternFill>
          <bgColor rgb="FFF4CCCC"/>
        </patternFill>
      </fill>
    </dxf>
    <dxf>
      <fill>
        <patternFill>
          <bgColor rgb="FFF4CCCC"/>
        </patternFill>
      </fill>
    </dxf>
    <dxf>
      <fill>
        <patternFill>
          <bgColor rgb="FFD9EAD3"/>
        </patternFill>
      </fill>
    </dxf>
    <dxf>
      <fill>
        <patternFill>
          <bgColor rgb="FFE1D5F0"/>
        </patternFill>
      </fill>
    </dxf>
    <dxf>
      <fill>
        <patternFill>
          <bgColor rgb="FFFFF2CC"/>
        </patternFill>
      </fill>
    </dxf>
    <dxf>
      <fill>
        <patternFill>
          <bgColor rgb="FFCFE2F3"/>
        </patternFill>
      </fill>
    </dxf>
    <dxf>
      <fill>
        <patternFill>
          <bgColor rgb="FFF2F2F2"/>
        </patternFill>
      </fill>
    </dxf>
    <dxf>
      <fill>
        <patternFill>
          <bgColor rgb="FFD9EAD3"/>
        </patternFill>
      </fill>
    </dxf>
    <dxf>
      <fill>
        <patternFill>
          <bgColor rgb="FFFFF2CC"/>
        </patternFill>
      </fill>
    </dxf>
    <dxf>
      <fill>
        <patternFill>
          <bgColor rgb="FFFCE5CD"/>
        </patternFill>
      </fill>
    </dxf>
    <dxf>
      <fill>
        <patternFill>
          <bgColor rgb="FFF4CCCC"/>
        </patternFill>
      </fill>
    </dxf>
    <dxf>
      <fill>
        <patternFill>
          <bgColor rgb="FFF4CCCC"/>
        </patternFill>
      </fill>
    </dxf>
    <dxf>
      <fill>
        <patternFill>
          <bgColor rgb="FFD9EAD3"/>
        </patternFill>
      </fill>
    </dxf>
    <dxf>
      <fill>
        <patternFill>
          <bgColor rgb="FFE1D5F0"/>
        </patternFill>
      </fill>
    </dxf>
    <dxf>
      <fill>
        <patternFill>
          <bgColor rgb="FFFFF2CC"/>
        </patternFill>
      </fill>
    </dxf>
    <dxf>
      <fill>
        <patternFill>
          <bgColor rgb="FFCFE2F3"/>
        </patternFill>
      </fill>
    </dxf>
    <dxf>
      <fill>
        <patternFill>
          <bgColor rgb="FFF2F2F2"/>
        </patternFill>
      </fill>
    </dxf>
    <dxf>
      <fill>
        <patternFill>
          <bgColor rgb="FFD9EAD3"/>
        </patternFill>
      </fill>
    </dxf>
    <dxf>
      <fill>
        <patternFill>
          <bgColor rgb="FFFFF2CC"/>
        </patternFill>
      </fill>
    </dxf>
    <dxf>
      <fill>
        <patternFill>
          <bgColor rgb="FFFCE5CD"/>
        </patternFill>
      </fill>
    </dxf>
    <dxf>
      <fill>
        <patternFill>
          <bgColor rgb="FFF4CC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FE2F3"/>
      <rgbColor rgb="FF660066"/>
      <rgbColor rgb="FFFF8080"/>
      <rgbColor rgb="FF0066CC"/>
      <rgbColor rgb="FFE1D5F0"/>
      <rgbColor rgb="FF000080"/>
      <rgbColor rgb="FFFF00FF"/>
      <rgbColor rgb="FFFFFF00"/>
      <rgbColor rgb="FF00FFFF"/>
      <rgbColor rgb="FF800080"/>
      <rgbColor rgb="FF800000"/>
      <rgbColor rgb="FF008080"/>
      <rgbColor rgb="FF0000FF"/>
      <rgbColor rgb="FF00CCFF"/>
      <rgbColor rgb="FFF2F2F2"/>
      <rgbColor rgb="FFD9EAD3"/>
      <rgbColor rgb="FFFCE5CD"/>
      <rgbColor rgb="FF99CCFF"/>
      <rgbColor rgb="FFFF99CC"/>
      <rgbColor rgb="FFCC99FF"/>
      <rgbColor rgb="FFF4CCCC"/>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
  <sheetViews>
    <sheetView showGridLines="0" tabSelected="1" zoomScaleNormal="100" workbookViewId="0">
      <pane ySplit="4" topLeftCell="A5" activePane="bottomLeft" state="frozen"/>
      <selection pane="bottomLeft" activeCell="C19" sqref="C19"/>
    </sheetView>
  </sheetViews>
  <sheetFormatPr defaultColWidth="8.6640625" defaultRowHeight="14.4" x14ac:dyDescent="0.3"/>
  <cols>
    <col min="1" max="1" width="20" customWidth="1"/>
    <col min="2" max="2" width="12" customWidth="1"/>
    <col min="3" max="4" width="14" customWidth="1"/>
    <col min="5" max="9" width="12" customWidth="1"/>
  </cols>
  <sheetData>
    <row r="1" spans="1:9" ht="21" x14ac:dyDescent="0.4">
      <c r="A1" s="2" t="s">
        <v>1221</v>
      </c>
      <c r="B1" s="2"/>
      <c r="C1" s="2"/>
      <c r="D1" s="2"/>
      <c r="E1" s="2"/>
      <c r="F1" s="2"/>
      <c r="G1" s="2"/>
      <c r="H1" s="2"/>
      <c r="I1" s="2"/>
    </row>
    <row r="2" spans="1:9" x14ac:dyDescent="0.3">
      <c r="A2" s="1" t="s">
        <v>0</v>
      </c>
      <c r="B2" s="1"/>
      <c r="C2" s="1"/>
      <c r="D2" s="1"/>
      <c r="E2" s="1"/>
      <c r="F2" s="1"/>
      <c r="G2" s="1"/>
      <c r="H2" s="1"/>
      <c r="I2" s="1"/>
    </row>
    <row r="4" spans="1:9" ht="33.75" customHeight="1" x14ac:dyDescent="0.3">
      <c r="A4" s="3" t="s">
        <v>1</v>
      </c>
      <c r="B4" s="3" t="s">
        <v>2</v>
      </c>
      <c r="C4" s="3" t="s">
        <v>3</v>
      </c>
      <c r="D4" s="3" t="s">
        <v>4</v>
      </c>
      <c r="E4" s="3" t="s">
        <v>5</v>
      </c>
      <c r="F4" s="3" t="s">
        <v>6</v>
      </c>
      <c r="G4" s="3" t="s">
        <v>7</v>
      </c>
      <c r="H4" s="3" t="s">
        <v>8</v>
      </c>
      <c r="I4" s="3" t="s">
        <v>9</v>
      </c>
    </row>
    <row r="5" spans="1:9" x14ac:dyDescent="0.3">
      <c r="A5" s="4" t="s">
        <v>10</v>
      </c>
      <c r="B5" s="5">
        <f>COUNTA(Backend!$A$2:$A$156)</f>
        <v>155</v>
      </c>
      <c r="C5" s="5">
        <f>COUNTIF(Backend!$H$2:$H$156,"⬜ Not Started")</f>
        <v>129</v>
      </c>
      <c r="D5" s="5">
        <f>COUNTIF(Backend!$H$2:$H$156,"🟦 In Progress")</f>
        <v>26</v>
      </c>
      <c r="E5" s="5">
        <f>COUNTIF(Backend!$H$2:$H$156,"🟨 Testing")</f>
        <v>0</v>
      </c>
      <c r="F5" s="5">
        <f>COUNTIF(Backend!$H$2:$H$156,"🟪 Review")</f>
        <v>0</v>
      </c>
      <c r="G5" s="5">
        <f>COUNTIF(Backend!$H$2:$H$156,"🟩 Complete")</f>
        <v>0</v>
      </c>
      <c r="H5" s="5">
        <f>COUNTIF(Backend!$H$2:$H$156,"🔴 Blocked")</f>
        <v>0</v>
      </c>
      <c r="I5" s="6">
        <f t="shared" ref="I5:I13" si="0">IFERROR(G5/B5,0)</f>
        <v>0</v>
      </c>
    </row>
    <row r="6" spans="1:9" x14ac:dyDescent="0.3">
      <c r="A6" s="4" t="s">
        <v>11</v>
      </c>
      <c r="B6" s="5">
        <f>COUNTA(Frontend!$A$2:$A$88)</f>
        <v>87</v>
      </c>
      <c r="C6" s="5">
        <f>COUNTIF(Frontend!$H$2:$H$88,"⬜ Not Started")</f>
        <v>72</v>
      </c>
      <c r="D6" s="5">
        <f>COUNTIF(Frontend!$H$2:$H$88,"🟦 In Progress")</f>
        <v>8</v>
      </c>
      <c r="E6" s="5">
        <f>COUNTIF(Frontend!$H$2:$H$88,"🟨 Testing")</f>
        <v>0</v>
      </c>
      <c r="F6" s="5">
        <f>COUNTIF(Frontend!$H$2:$H$88,"🟪 Review")</f>
        <v>0</v>
      </c>
      <c r="G6" s="5">
        <f>COUNTIF(Frontend!$H$2:$H$88,"🟩 Complete")</f>
        <v>7</v>
      </c>
      <c r="H6" s="5">
        <f>COUNTIF(Frontend!$H$2:$H$88,"🔴 Blocked")</f>
        <v>0</v>
      </c>
      <c r="I6" s="6">
        <f t="shared" si="0"/>
        <v>8.0459770114942528E-2</v>
      </c>
    </row>
    <row r="7" spans="1:9" x14ac:dyDescent="0.3">
      <c r="A7" s="4" t="s">
        <v>12</v>
      </c>
      <c r="B7" s="5">
        <f>COUNTA(Database!$A$2:$A$59)</f>
        <v>58</v>
      </c>
      <c r="C7" s="5">
        <f>COUNTIF(Database!$H$2:$H$59,"⬜ Not Started")</f>
        <v>50</v>
      </c>
      <c r="D7" s="5">
        <f>COUNTIF(Database!$H$2:$H$59,"🟦 In Progress")</f>
        <v>8</v>
      </c>
      <c r="E7" s="5">
        <f>COUNTIF(Database!$H$2:$H$59,"🟨 Testing")</f>
        <v>0</v>
      </c>
      <c r="F7" s="5">
        <f>COUNTIF(Database!$H$2:$H$59,"🟪 Review")</f>
        <v>0</v>
      </c>
      <c r="G7" s="5">
        <f>COUNTIF(Database!$H$2:$H$59,"🟩 Complete")</f>
        <v>0</v>
      </c>
      <c r="H7" s="5">
        <f>COUNTIF(Database!$H$2:$H$59,"🔴 Blocked")</f>
        <v>0</v>
      </c>
      <c r="I7" s="6">
        <f t="shared" si="0"/>
        <v>0</v>
      </c>
    </row>
    <row r="8" spans="1:9" x14ac:dyDescent="0.3">
      <c r="A8" s="4" t="s">
        <v>13</v>
      </c>
      <c r="B8" s="5">
        <f>COUNTA(API!$A$2:$A$100)</f>
        <v>99</v>
      </c>
      <c r="C8" s="5">
        <f>COUNTIF(API!$H$2:$H$100,"⬜ Not Started")</f>
        <v>90</v>
      </c>
      <c r="D8" s="5">
        <f>COUNTIF(API!$H$2:$H$100,"🟦 In Progress")</f>
        <v>9</v>
      </c>
      <c r="E8" s="5">
        <f>COUNTIF(API!$H$2:$H$100,"🟨 Testing")</f>
        <v>0</v>
      </c>
      <c r="F8" s="5">
        <f>COUNTIF(API!$H$2:$H$100,"🟪 Review")</f>
        <v>0</v>
      </c>
      <c r="G8" s="5">
        <f>COUNTIF(API!$H$2:$H$100,"🟩 Complete")</f>
        <v>0</v>
      </c>
      <c r="H8" s="5">
        <f>COUNTIF(API!$H$2:$H$100,"🔴 Blocked")</f>
        <v>0</v>
      </c>
      <c r="I8" s="6">
        <f t="shared" si="0"/>
        <v>0</v>
      </c>
    </row>
    <row r="9" spans="1:9" x14ac:dyDescent="0.3">
      <c r="A9" s="4" t="s">
        <v>14</v>
      </c>
      <c r="B9" s="5">
        <f>COUNTA('Trust Engine'!$A$2:$A$35)</f>
        <v>34</v>
      </c>
      <c r="C9" s="5">
        <f>COUNTIF('Trust Engine'!$H$2:$H$35,"⬜ Not Started")</f>
        <v>34</v>
      </c>
      <c r="D9" s="5">
        <f>COUNTIF('Trust Engine'!$H$2:$H$35,"🟦 In Progress")</f>
        <v>0</v>
      </c>
      <c r="E9" s="5">
        <f>COUNTIF('Trust Engine'!$H$2:$H$35,"🟨 Testing")</f>
        <v>0</v>
      </c>
      <c r="F9" s="5">
        <f>COUNTIF('Trust Engine'!$H$2:$H$35,"🟪 Review")</f>
        <v>0</v>
      </c>
      <c r="G9" s="5">
        <f>COUNTIF('Trust Engine'!$H$2:$H$35,"🟩 Complete")</f>
        <v>0</v>
      </c>
      <c r="H9" s="5">
        <f>COUNTIF('Trust Engine'!$H$2:$H$35,"🔴 Blocked")</f>
        <v>0</v>
      </c>
      <c r="I9" s="6">
        <f t="shared" si="0"/>
        <v>0</v>
      </c>
    </row>
    <row r="10" spans="1:9" x14ac:dyDescent="0.3">
      <c r="A10" s="4" t="s">
        <v>15</v>
      </c>
      <c r="B10" s="5">
        <f>COUNTA(Testing!$A$2:$A$36)</f>
        <v>35</v>
      </c>
      <c r="C10" s="5">
        <f>COUNTIF(Testing!$H$2:$H$36,"⬜ Not Started")</f>
        <v>33</v>
      </c>
      <c r="D10" s="5">
        <f>COUNTIF(Testing!$H$2:$H$36,"🟦 In Progress")</f>
        <v>0</v>
      </c>
      <c r="E10" s="5">
        <f>COUNTIF(Testing!$H$2:$H$36,"🟨 Testing")</f>
        <v>2</v>
      </c>
      <c r="F10" s="5">
        <f>COUNTIF(Testing!$H$2:$H$36,"🟪 Review")</f>
        <v>0</v>
      </c>
      <c r="G10" s="5">
        <f>COUNTIF(Testing!$H$2:$H$36,"🟩 Complete")</f>
        <v>0</v>
      </c>
      <c r="H10" s="5">
        <f>COUNTIF(Testing!$H$2:$H$36,"🔴 Blocked")</f>
        <v>0</v>
      </c>
      <c r="I10" s="6">
        <f t="shared" si="0"/>
        <v>0</v>
      </c>
    </row>
    <row r="11" spans="1:9" x14ac:dyDescent="0.3">
      <c r="A11" s="4" t="s">
        <v>16</v>
      </c>
      <c r="B11" s="5">
        <f>COUNTA(DevOps!$A$2:$A$16)</f>
        <v>15</v>
      </c>
      <c r="C11" s="5">
        <f>COUNTIF(DevOps!$H$2:$H$16,"⬜ Not Started")</f>
        <v>15</v>
      </c>
      <c r="D11" s="5">
        <f>COUNTIF(DevOps!$H$2:$H$16,"🟦 In Progress")</f>
        <v>0</v>
      </c>
      <c r="E11" s="5">
        <f>COUNTIF(DevOps!$H$2:$H$16,"🟨 Testing")</f>
        <v>0</v>
      </c>
      <c r="F11" s="5">
        <f>COUNTIF(DevOps!$H$2:$H$16,"🟪 Review")</f>
        <v>0</v>
      </c>
      <c r="G11" s="5">
        <f>COUNTIF(DevOps!$H$2:$H$16,"🟩 Complete")</f>
        <v>0</v>
      </c>
      <c r="H11" s="5">
        <f>COUNTIF(DevOps!$H$2:$H$16,"🔴 Blocked")</f>
        <v>0</v>
      </c>
      <c r="I11" s="6">
        <f t="shared" si="0"/>
        <v>0</v>
      </c>
    </row>
    <row r="12" spans="1:9" x14ac:dyDescent="0.3">
      <c r="A12" s="4" t="s">
        <v>17</v>
      </c>
      <c r="B12" s="5">
        <f>COUNTA('Future Phases'!$A$2:$A$25)</f>
        <v>24</v>
      </c>
      <c r="C12" s="5">
        <f>COUNTIF('Future Phases'!$H$2:$H$25,"⬜ Not Started")</f>
        <v>24</v>
      </c>
      <c r="D12" s="5">
        <f>COUNTIF('Future Phases'!$H$2:$H$25,"🟦 In Progress")</f>
        <v>0</v>
      </c>
      <c r="E12" s="5">
        <f>COUNTIF('Future Phases'!$H$2:$H$25,"🟨 Testing")</f>
        <v>0</v>
      </c>
      <c r="F12" s="5">
        <f>COUNTIF('Future Phases'!$H$2:$H$25,"🟪 Review")</f>
        <v>0</v>
      </c>
      <c r="G12" s="5">
        <f>COUNTIF('Future Phases'!$H$2:$H$25,"🟩 Complete")</f>
        <v>0</v>
      </c>
      <c r="H12" s="5">
        <f>COUNTIF('Future Phases'!$H$2:$H$25,"🔴 Blocked")</f>
        <v>0</v>
      </c>
      <c r="I12" s="6">
        <f t="shared" si="0"/>
        <v>0</v>
      </c>
    </row>
    <row r="13" spans="1:9" x14ac:dyDescent="0.3">
      <c r="A13" s="7" t="s">
        <v>18</v>
      </c>
      <c r="B13" s="8">
        <f t="shared" ref="B13:H13" si="1">SUM(B5:B12)</f>
        <v>507</v>
      </c>
      <c r="C13" s="8">
        <f t="shared" si="1"/>
        <v>447</v>
      </c>
      <c r="D13" s="8">
        <f t="shared" si="1"/>
        <v>51</v>
      </c>
      <c r="E13" s="8">
        <f>SUM(E5:E12)</f>
        <v>2</v>
      </c>
      <c r="F13" s="8">
        <f t="shared" si="1"/>
        <v>0</v>
      </c>
      <c r="G13" s="8">
        <f t="shared" si="1"/>
        <v>7</v>
      </c>
      <c r="H13" s="8">
        <f t="shared" si="1"/>
        <v>0</v>
      </c>
      <c r="I13" s="9">
        <f t="shared" si="0"/>
        <v>1.3806706114398421E-2</v>
      </c>
    </row>
    <row r="16" spans="1:9" x14ac:dyDescent="0.3">
      <c r="A16" s="7" t="s">
        <v>19</v>
      </c>
      <c r="C16" s="7" t="s">
        <v>20</v>
      </c>
    </row>
    <row r="17" spans="1:3" x14ac:dyDescent="0.3">
      <c r="A17" s="10" t="s">
        <v>21</v>
      </c>
      <c r="C17" s="11" t="s">
        <v>3</v>
      </c>
    </row>
    <row r="18" spans="1:3" x14ac:dyDescent="0.3">
      <c r="A18" s="12" t="s">
        <v>22</v>
      </c>
      <c r="C18" s="13" t="s">
        <v>4</v>
      </c>
    </row>
    <row r="19" spans="1:3" x14ac:dyDescent="0.3">
      <c r="A19" s="14" t="s">
        <v>23</v>
      </c>
      <c r="C19" s="14" t="s">
        <v>5</v>
      </c>
    </row>
    <row r="20" spans="1:3" x14ac:dyDescent="0.3">
      <c r="A20" s="15" t="s">
        <v>24</v>
      </c>
      <c r="C20" s="16" t="s">
        <v>6</v>
      </c>
    </row>
    <row r="21" spans="1:3" x14ac:dyDescent="0.3">
      <c r="C21" s="15" t="s">
        <v>7</v>
      </c>
    </row>
    <row r="22" spans="1:3" x14ac:dyDescent="0.3">
      <c r="C22" s="10" t="s">
        <v>8</v>
      </c>
    </row>
  </sheetData>
  <mergeCells count="2">
    <mergeCell ref="A1:I1"/>
    <mergeCell ref="A2:I2"/>
  </mergeCells>
  <conditionalFormatting sqref="I5:I13">
    <cfRule type="colorScale" priority="2">
      <colorScale>
        <cfvo type="num" val="0"/>
        <cfvo type="num" val="0.5"/>
        <cfvo type="num" val="1"/>
        <color rgb="FFF4CCCC"/>
        <color rgb="FFFFF2CC"/>
        <color rgb="FFD9EAD3"/>
      </colorScale>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56"/>
  <sheetViews>
    <sheetView zoomScaleNormal="100" workbookViewId="0">
      <pane ySplit="1" topLeftCell="A194" activePane="bottomLeft" state="frozen"/>
      <selection pane="bottomLeft" activeCell="H11" sqref="H11"/>
    </sheetView>
  </sheetViews>
  <sheetFormatPr defaultColWidth="8.6640625" defaultRowHeight="14.4" x14ac:dyDescent="0.3"/>
  <cols>
    <col min="1" max="1" width="10" customWidth="1"/>
    <col min="2" max="2" width="22" customWidth="1"/>
    <col min="3" max="3" width="24" customWidth="1"/>
    <col min="4" max="4" width="52" customWidth="1"/>
    <col min="5" max="5" width="14" customWidth="1"/>
    <col min="6" max="6" width="20" customWidth="1"/>
    <col min="7" max="7" width="14" customWidth="1"/>
    <col min="8" max="8" width="16" customWidth="1"/>
  </cols>
  <sheetData>
    <row r="1" spans="1:8" ht="30" customHeight="1" x14ac:dyDescent="0.3">
      <c r="A1" s="3" t="s">
        <v>25</v>
      </c>
      <c r="B1" s="3" t="s">
        <v>26</v>
      </c>
      <c r="C1" s="3" t="s">
        <v>27</v>
      </c>
      <c r="D1" s="3" t="s">
        <v>28</v>
      </c>
      <c r="E1" s="3" t="s">
        <v>29</v>
      </c>
      <c r="F1" s="3" t="s">
        <v>30</v>
      </c>
      <c r="G1" s="3" t="s">
        <v>31</v>
      </c>
      <c r="H1" s="3" t="s">
        <v>32</v>
      </c>
    </row>
    <row r="2" spans="1:8" ht="30" customHeight="1" x14ac:dyDescent="0.3">
      <c r="A2" s="17" t="s">
        <v>33</v>
      </c>
      <c r="B2" s="17" t="s">
        <v>34</v>
      </c>
      <c r="C2" s="18" t="s">
        <v>35</v>
      </c>
      <c r="D2" s="18" t="s">
        <v>36</v>
      </c>
      <c r="E2" s="17" t="s">
        <v>21</v>
      </c>
      <c r="F2" s="18" t="s">
        <v>37</v>
      </c>
      <c r="G2" s="17"/>
      <c r="H2" s="17" t="s">
        <v>4</v>
      </c>
    </row>
    <row r="3" spans="1:8" ht="30" customHeight="1" x14ac:dyDescent="0.3">
      <c r="A3" s="17" t="s">
        <v>38</v>
      </c>
      <c r="B3" s="17" t="s">
        <v>34</v>
      </c>
      <c r="C3" s="18" t="s">
        <v>35</v>
      </c>
      <c r="D3" s="18" t="s">
        <v>39</v>
      </c>
      <c r="E3" s="17" t="s">
        <v>21</v>
      </c>
      <c r="F3" s="18" t="s">
        <v>33</v>
      </c>
      <c r="G3" s="17"/>
      <c r="H3" s="17" t="s">
        <v>4</v>
      </c>
    </row>
    <row r="4" spans="1:8" ht="30" customHeight="1" x14ac:dyDescent="0.3">
      <c r="A4" s="17" t="s">
        <v>40</v>
      </c>
      <c r="B4" s="17" t="s">
        <v>34</v>
      </c>
      <c r="C4" s="18" t="s">
        <v>41</v>
      </c>
      <c r="D4" s="18" t="s">
        <v>42</v>
      </c>
      <c r="E4" s="17" t="s">
        <v>22</v>
      </c>
      <c r="F4" s="18" t="s">
        <v>43</v>
      </c>
      <c r="G4" s="17"/>
      <c r="H4" s="17" t="s">
        <v>4</v>
      </c>
    </row>
    <row r="5" spans="1:8" ht="30" customHeight="1" x14ac:dyDescent="0.3">
      <c r="A5" s="17" t="s">
        <v>44</v>
      </c>
      <c r="B5" s="17" t="s">
        <v>34</v>
      </c>
      <c r="C5" s="18" t="s">
        <v>41</v>
      </c>
      <c r="D5" s="18" t="s">
        <v>45</v>
      </c>
      <c r="E5" s="17" t="s">
        <v>22</v>
      </c>
      <c r="F5" s="18" t="s">
        <v>40</v>
      </c>
      <c r="G5" s="17"/>
      <c r="H5" s="17" t="s">
        <v>4</v>
      </c>
    </row>
    <row r="6" spans="1:8" ht="30" customHeight="1" x14ac:dyDescent="0.3">
      <c r="A6" s="17" t="s">
        <v>46</v>
      </c>
      <c r="B6" s="17" t="s">
        <v>34</v>
      </c>
      <c r="C6" s="18" t="s">
        <v>47</v>
      </c>
      <c r="D6" s="18" t="s">
        <v>48</v>
      </c>
      <c r="E6" s="17" t="s">
        <v>22</v>
      </c>
      <c r="F6" s="18" t="s">
        <v>49</v>
      </c>
      <c r="G6" s="17"/>
      <c r="H6" s="17" t="s">
        <v>4</v>
      </c>
    </row>
    <row r="7" spans="1:8" ht="30" customHeight="1" x14ac:dyDescent="0.3">
      <c r="A7" s="17" t="s">
        <v>50</v>
      </c>
      <c r="B7" s="17" t="s">
        <v>34</v>
      </c>
      <c r="C7" s="18" t="s">
        <v>47</v>
      </c>
      <c r="D7" s="18" t="s">
        <v>51</v>
      </c>
      <c r="E7" s="17" t="s">
        <v>22</v>
      </c>
      <c r="F7" s="18" t="s">
        <v>46</v>
      </c>
      <c r="G7" s="17"/>
      <c r="H7" s="17" t="s">
        <v>4</v>
      </c>
    </row>
    <row r="8" spans="1:8" ht="30" customHeight="1" x14ac:dyDescent="0.3">
      <c r="A8" s="17" t="s">
        <v>52</v>
      </c>
      <c r="B8" s="17" t="s">
        <v>34</v>
      </c>
      <c r="C8" s="18" t="s">
        <v>53</v>
      </c>
      <c r="D8" s="18" t="s">
        <v>54</v>
      </c>
      <c r="E8" s="17" t="s">
        <v>22</v>
      </c>
      <c r="F8" s="18" t="s">
        <v>55</v>
      </c>
      <c r="G8" s="17"/>
      <c r="H8" s="17" t="s">
        <v>4</v>
      </c>
    </row>
    <row r="9" spans="1:8" ht="30" customHeight="1" x14ac:dyDescent="0.3">
      <c r="A9" s="17" t="s">
        <v>56</v>
      </c>
      <c r="B9" s="17" t="s">
        <v>34</v>
      </c>
      <c r="C9" s="18" t="s">
        <v>53</v>
      </c>
      <c r="D9" s="18" t="s">
        <v>57</v>
      </c>
      <c r="E9" s="17" t="s">
        <v>22</v>
      </c>
      <c r="F9" s="18" t="s">
        <v>52</v>
      </c>
      <c r="G9" s="17"/>
      <c r="H9" s="17" t="s">
        <v>4</v>
      </c>
    </row>
    <row r="10" spans="1:8" ht="30" customHeight="1" x14ac:dyDescent="0.3">
      <c r="A10" s="17" t="s">
        <v>58</v>
      </c>
      <c r="B10" s="17" t="s">
        <v>34</v>
      </c>
      <c r="C10" s="18" t="s">
        <v>59</v>
      </c>
      <c r="D10" s="18" t="s">
        <v>60</v>
      </c>
      <c r="E10" s="17" t="s">
        <v>22</v>
      </c>
      <c r="F10" s="18" t="s">
        <v>61</v>
      </c>
      <c r="G10" s="17"/>
      <c r="H10" s="17" t="s">
        <v>4</v>
      </c>
    </row>
    <row r="11" spans="1:8" ht="30" customHeight="1" x14ac:dyDescent="0.3">
      <c r="A11" s="17" t="s">
        <v>62</v>
      </c>
      <c r="B11" s="17" t="s">
        <v>34</v>
      </c>
      <c r="C11" s="18" t="s">
        <v>59</v>
      </c>
      <c r="D11" s="18" t="s">
        <v>63</v>
      </c>
      <c r="E11" s="17" t="s">
        <v>22</v>
      </c>
      <c r="F11" s="18" t="s">
        <v>58</v>
      </c>
      <c r="G11" s="17"/>
      <c r="H11" s="17" t="s">
        <v>4</v>
      </c>
    </row>
    <row r="12" spans="1:8" ht="30" customHeight="1" x14ac:dyDescent="0.3">
      <c r="A12" s="17" t="s">
        <v>64</v>
      </c>
      <c r="B12" s="17" t="s">
        <v>34</v>
      </c>
      <c r="C12" s="18" t="s">
        <v>65</v>
      </c>
      <c r="D12" s="18" t="s">
        <v>66</v>
      </c>
      <c r="E12" s="17" t="s">
        <v>22</v>
      </c>
      <c r="F12" s="18" t="s">
        <v>67</v>
      </c>
      <c r="G12" s="17"/>
      <c r="H12" s="17" t="s">
        <v>4</v>
      </c>
    </row>
    <row r="13" spans="1:8" ht="30" customHeight="1" x14ac:dyDescent="0.3">
      <c r="A13" s="17" t="s">
        <v>68</v>
      </c>
      <c r="B13" s="17" t="s">
        <v>34</v>
      </c>
      <c r="C13" s="18" t="s">
        <v>65</v>
      </c>
      <c r="D13" s="18" t="s">
        <v>69</v>
      </c>
      <c r="E13" s="17" t="s">
        <v>22</v>
      </c>
      <c r="F13" s="18" t="s">
        <v>64</v>
      </c>
      <c r="G13" s="17"/>
      <c r="H13" s="17" t="s">
        <v>4</v>
      </c>
    </row>
    <row r="14" spans="1:8" ht="30" customHeight="1" x14ac:dyDescent="0.3">
      <c r="A14" s="17" t="s">
        <v>70</v>
      </c>
      <c r="B14" s="17" t="s">
        <v>34</v>
      </c>
      <c r="C14" s="18" t="s">
        <v>71</v>
      </c>
      <c r="D14" s="18" t="s">
        <v>72</v>
      </c>
      <c r="E14" s="17" t="s">
        <v>22</v>
      </c>
      <c r="F14" s="18" t="s">
        <v>73</v>
      </c>
      <c r="G14" s="17"/>
      <c r="H14" s="17" t="s">
        <v>4</v>
      </c>
    </row>
    <row r="15" spans="1:8" ht="30" customHeight="1" x14ac:dyDescent="0.3">
      <c r="A15" s="17" t="s">
        <v>74</v>
      </c>
      <c r="B15" s="17" t="s">
        <v>34</v>
      </c>
      <c r="C15" s="18" t="s">
        <v>71</v>
      </c>
      <c r="D15" s="18" t="s">
        <v>75</v>
      </c>
      <c r="E15" s="17" t="s">
        <v>22</v>
      </c>
      <c r="F15" s="18" t="s">
        <v>70</v>
      </c>
      <c r="G15" s="17"/>
      <c r="H15" s="17" t="s">
        <v>4</v>
      </c>
    </row>
    <row r="16" spans="1:8" ht="30" customHeight="1" x14ac:dyDescent="0.3">
      <c r="A16" s="17" t="s">
        <v>76</v>
      </c>
      <c r="B16" s="17" t="s">
        <v>34</v>
      </c>
      <c r="C16" s="18" t="s">
        <v>77</v>
      </c>
      <c r="D16" s="18" t="s">
        <v>78</v>
      </c>
      <c r="E16" s="17" t="s">
        <v>22</v>
      </c>
      <c r="F16" s="18" t="s">
        <v>79</v>
      </c>
      <c r="G16" s="17"/>
      <c r="H16" s="17" t="s">
        <v>4</v>
      </c>
    </row>
    <row r="17" spans="1:8" ht="30" customHeight="1" x14ac:dyDescent="0.3">
      <c r="A17" s="17" t="s">
        <v>80</v>
      </c>
      <c r="B17" s="17" t="s">
        <v>34</v>
      </c>
      <c r="C17" s="18" t="s">
        <v>77</v>
      </c>
      <c r="D17" s="18" t="s">
        <v>81</v>
      </c>
      <c r="E17" s="17" t="s">
        <v>22</v>
      </c>
      <c r="F17" s="18" t="s">
        <v>76</v>
      </c>
      <c r="G17" s="17"/>
      <c r="H17" s="17" t="s">
        <v>4</v>
      </c>
    </row>
    <row r="18" spans="1:8" ht="30" customHeight="1" x14ac:dyDescent="0.3">
      <c r="A18" s="17" t="s">
        <v>82</v>
      </c>
      <c r="B18" s="17" t="s">
        <v>83</v>
      </c>
      <c r="C18" s="18" t="s">
        <v>84</v>
      </c>
      <c r="D18" s="18" t="s">
        <v>85</v>
      </c>
      <c r="E18" s="17" t="s">
        <v>21</v>
      </c>
      <c r="F18" s="18" t="s">
        <v>86</v>
      </c>
      <c r="G18" s="17"/>
      <c r="H18" s="17" t="s">
        <v>3</v>
      </c>
    </row>
    <row r="19" spans="1:8" ht="30" customHeight="1" x14ac:dyDescent="0.3">
      <c r="A19" s="17" t="s">
        <v>87</v>
      </c>
      <c r="B19" s="17" t="s">
        <v>83</v>
      </c>
      <c r="C19" s="18" t="s">
        <v>84</v>
      </c>
      <c r="D19" s="18" t="s">
        <v>88</v>
      </c>
      <c r="E19" s="17" t="s">
        <v>21</v>
      </c>
      <c r="F19" s="18" t="s">
        <v>82</v>
      </c>
      <c r="G19" s="17"/>
      <c r="H19" s="17" t="s">
        <v>3</v>
      </c>
    </row>
    <row r="20" spans="1:8" ht="30" customHeight="1" x14ac:dyDescent="0.3">
      <c r="A20" s="17" t="s">
        <v>89</v>
      </c>
      <c r="B20" s="17" t="s">
        <v>83</v>
      </c>
      <c r="C20" s="18" t="s">
        <v>90</v>
      </c>
      <c r="D20" s="18" t="s">
        <v>91</v>
      </c>
      <c r="E20" s="17" t="s">
        <v>22</v>
      </c>
      <c r="F20" s="18" t="s">
        <v>92</v>
      </c>
      <c r="G20" s="17"/>
      <c r="H20" s="17" t="s">
        <v>3</v>
      </c>
    </row>
    <row r="21" spans="1:8" ht="30" customHeight="1" x14ac:dyDescent="0.3">
      <c r="A21" s="17" t="s">
        <v>93</v>
      </c>
      <c r="B21" s="17" t="s">
        <v>83</v>
      </c>
      <c r="C21" s="18" t="s">
        <v>90</v>
      </c>
      <c r="D21" s="18" t="s">
        <v>94</v>
      </c>
      <c r="E21" s="17" t="s">
        <v>22</v>
      </c>
      <c r="F21" s="18" t="s">
        <v>89</v>
      </c>
      <c r="G21" s="17"/>
      <c r="H21" s="17" t="s">
        <v>3</v>
      </c>
    </row>
    <row r="22" spans="1:8" ht="30" customHeight="1" x14ac:dyDescent="0.3">
      <c r="A22" s="17" t="s">
        <v>95</v>
      </c>
      <c r="B22" s="17" t="s">
        <v>83</v>
      </c>
      <c r="C22" s="18" t="s">
        <v>96</v>
      </c>
      <c r="D22" s="18" t="s">
        <v>97</v>
      </c>
      <c r="E22" s="17" t="s">
        <v>22</v>
      </c>
      <c r="F22" s="18" t="s">
        <v>98</v>
      </c>
      <c r="G22" s="17"/>
      <c r="H22" s="17" t="s">
        <v>3</v>
      </c>
    </row>
    <row r="23" spans="1:8" ht="30" customHeight="1" x14ac:dyDescent="0.3">
      <c r="A23" s="17" t="s">
        <v>99</v>
      </c>
      <c r="B23" s="17" t="s">
        <v>83</v>
      </c>
      <c r="C23" s="18" t="s">
        <v>96</v>
      </c>
      <c r="D23" s="18" t="s">
        <v>100</v>
      </c>
      <c r="E23" s="17" t="s">
        <v>22</v>
      </c>
      <c r="F23" s="18" t="s">
        <v>95</v>
      </c>
      <c r="G23" s="17"/>
      <c r="H23" s="17" t="s">
        <v>3</v>
      </c>
    </row>
    <row r="24" spans="1:8" ht="30" customHeight="1" x14ac:dyDescent="0.3">
      <c r="A24" s="17" t="s">
        <v>101</v>
      </c>
      <c r="B24" s="17" t="s">
        <v>83</v>
      </c>
      <c r="C24" s="18" t="s">
        <v>102</v>
      </c>
      <c r="D24" s="18" t="s">
        <v>103</v>
      </c>
      <c r="E24" s="17" t="s">
        <v>22</v>
      </c>
      <c r="F24" s="18" t="s">
        <v>104</v>
      </c>
      <c r="G24" s="17"/>
      <c r="H24" s="17" t="s">
        <v>3</v>
      </c>
    </row>
    <row r="25" spans="1:8" ht="30" customHeight="1" x14ac:dyDescent="0.3">
      <c r="A25" s="17" t="s">
        <v>105</v>
      </c>
      <c r="B25" s="17" t="s">
        <v>83</v>
      </c>
      <c r="C25" s="18" t="s">
        <v>102</v>
      </c>
      <c r="D25" s="18" t="s">
        <v>106</v>
      </c>
      <c r="E25" s="17" t="s">
        <v>22</v>
      </c>
      <c r="F25" s="18" t="s">
        <v>101</v>
      </c>
      <c r="G25" s="17"/>
      <c r="H25" s="17" t="s">
        <v>3</v>
      </c>
    </row>
    <row r="26" spans="1:8" ht="30" customHeight="1" x14ac:dyDescent="0.3">
      <c r="A26" s="17" t="s">
        <v>107</v>
      </c>
      <c r="B26" s="17" t="s">
        <v>83</v>
      </c>
      <c r="C26" s="18" t="s">
        <v>108</v>
      </c>
      <c r="D26" s="18" t="s">
        <v>109</v>
      </c>
      <c r="E26" s="17" t="s">
        <v>22</v>
      </c>
      <c r="F26" s="18" t="s">
        <v>110</v>
      </c>
      <c r="G26" s="17"/>
      <c r="H26" s="17" t="s">
        <v>3</v>
      </c>
    </row>
    <row r="27" spans="1:8" ht="30" customHeight="1" x14ac:dyDescent="0.3">
      <c r="A27" s="17" t="s">
        <v>111</v>
      </c>
      <c r="B27" s="17" t="s">
        <v>83</v>
      </c>
      <c r="C27" s="18" t="s">
        <v>108</v>
      </c>
      <c r="D27" s="18" t="s">
        <v>112</v>
      </c>
      <c r="E27" s="17" t="s">
        <v>22</v>
      </c>
      <c r="F27" s="18" t="s">
        <v>107</v>
      </c>
      <c r="G27" s="17"/>
      <c r="H27" s="17" t="s">
        <v>3</v>
      </c>
    </row>
    <row r="28" spans="1:8" ht="30" customHeight="1" x14ac:dyDescent="0.3">
      <c r="A28" s="17" t="s">
        <v>113</v>
      </c>
      <c r="B28" s="17" t="s">
        <v>83</v>
      </c>
      <c r="C28" s="18" t="s">
        <v>114</v>
      </c>
      <c r="D28" s="18" t="s">
        <v>115</v>
      </c>
      <c r="E28" s="17" t="s">
        <v>22</v>
      </c>
      <c r="F28" s="18" t="s">
        <v>116</v>
      </c>
      <c r="G28" s="17"/>
      <c r="H28" s="17" t="s">
        <v>3</v>
      </c>
    </row>
    <row r="29" spans="1:8" ht="30" customHeight="1" x14ac:dyDescent="0.3">
      <c r="A29" s="17" t="s">
        <v>117</v>
      </c>
      <c r="B29" s="17" t="s">
        <v>83</v>
      </c>
      <c r="C29" s="18" t="s">
        <v>114</v>
      </c>
      <c r="D29" s="18" t="s">
        <v>118</v>
      </c>
      <c r="E29" s="17" t="s">
        <v>22</v>
      </c>
      <c r="F29" s="18" t="s">
        <v>113</v>
      </c>
      <c r="G29" s="17"/>
      <c r="H29" s="17" t="s">
        <v>3</v>
      </c>
    </row>
    <row r="30" spans="1:8" ht="30" customHeight="1" x14ac:dyDescent="0.3">
      <c r="A30" s="17" t="s">
        <v>119</v>
      </c>
      <c r="B30" s="17" t="s">
        <v>83</v>
      </c>
      <c r="C30" s="18" t="s">
        <v>120</v>
      </c>
      <c r="D30" s="18" t="s">
        <v>121</v>
      </c>
      <c r="E30" s="17" t="s">
        <v>22</v>
      </c>
      <c r="F30" s="18" t="s">
        <v>122</v>
      </c>
      <c r="G30" s="17"/>
      <c r="H30" s="17" t="s">
        <v>3</v>
      </c>
    </row>
    <row r="31" spans="1:8" ht="30" customHeight="1" x14ac:dyDescent="0.3">
      <c r="A31" s="17" t="s">
        <v>123</v>
      </c>
      <c r="B31" s="17" t="s">
        <v>83</v>
      </c>
      <c r="C31" s="18" t="s">
        <v>120</v>
      </c>
      <c r="D31" s="18" t="s">
        <v>124</v>
      </c>
      <c r="E31" s="17" t="s">
        <v>22</v>
      </c>
      <c r="F31" s="18" t="s">
        <v>119</v>
      </c>
      <c r="G31" s="17"/>
      <c r="H31" s="17" t="s">
        <v>3</v>
      </c>
    </row>
    <row r="32" spans="1:8" ht="30" customHeight="1" x14ac:dyDescent="0.3">
      <c r="A32" s="17" t="s">
        <v>125</v>
      </c>
      <c r="B32" s="17" t="s">
        <v>126</v>
      </c>
      <c r="C32" s="18" t="s">
        <v>127</v>
      </c>
      <c r="D32" s="18" t="s">
        <v>128</v>
      </c>
      <c r="E32" s="17" t="s">
        <v>21</v>
      </c>
      <c r="F32" s="18" t="s">
        <v>129</v>
      </c>
      <c r="G32" s="17"/>
      <c r="H32" s="17" t="s">
        <v>3</v>
      </c>
    </row>
    <row r="33" spans="1:8" ht="30" customHeight="1" x14ac:dyDescent="0.3">
      <c r="A33" s="17" t="s">
        <v>130</v>
      </c>
      <c r="B33" s="17" t="s">
        <v>126</v>
      </c>
      <c r="C33" s="18" t="s">
        <v>127</v>
      </c>
      <c r="D33" s="18" t="s">
        <v>131</v>
      </c>
      <c r="E33" s="17" t="s">
        <v>21</v>
      </c>
      <c r="F33" s="18" t="s">
        <v>125</v>
      </c>
      <c r="G33" s="17"/>
      <c r="H33" s="17" t="s">
        <v>3</v>
      </c>
    </row>
    <row r="34" spans="1:8" ht="30" customHeight="1" x14ac:dyDescent="0.3">
      <c r="A34" s="17" t="s">
        <v>132</v>
      </c>
      <c r="B34" s="17" t="s">
        <v>126</v>
      </c>
      <c r="C34" s="18" t="s">
        <v>133</v>
      </c>
      <c r="D34" s="18" t="s">
        <v>134</v>
      </c>
      <c r="E34" s="17" t="s">
        <v>22</v>
      </c>
      <c r="F34" s="18" t="s">
        <v>135</v>
      </c>
      <c r="G34" s="17"/>
      <c r="H34" s="17" t="s">
        <v>3</v>
      </c>
    </row>
    <row r="35" spans="1:8" ht="30" customHeight="1" x14ac:dyDescent="0.3">
      <c r="A35" s="17" t="s">
        <v>136</v>
      </c>
      <c r="B35" s="17" t="s">
        <v>126</v>
      </c>
      <c r="C35" s="18" t="s">
        <v>133</v>
      </c>
      <c r="D35" s="18" t="s">
        <v>137</v>
      </c>
      <c r="E35" s="17" t="s">
        <v>22</v>
      </c>
      <c r="F35" s="18" t="s">
        <v>132</v>
      </c>
      <c r="G35" s="17"/>
      <c r="H35" s="17" t="s">
        <v>3</v>
      </c>
    </row>
    <row r="36" spans="1:8" ht="30" customHeight="1" x14ac:dyDescent="0.3">
      <c r="A36" s="17" t="s">
        <v>138</v>
      </c>
      <c r="B36" s="17" t="s">
        <v>126</v>
      </c>
      <c r="C36" s="18" t="s">
        <v>139</v>
      </c>
      <c r="D36" s="18" t="s">
        <v>140</v>
      </c>
      <c r="E36" s="17" t="s">
        <v>22</v>
      </c>
      <c r="F36" s="18" t="s">
        <v>141</v>
      </c>
      <c r="G36" s="17"/>
      <c r="H36" s="17" t="s">
        <v>3</v>
      </c>
    </row>
    <row r="37" spans="1:8" ht="30" customHeight="1" x14ac:dyDescent="0.3">
      <c r="A37" s="17" t="s">
        <v>142</v>
      </c>
      <c r="B37" s="17" t="s">
        <v>126</v>
      </c>
      <c r="C37" s="18" t="s">
        <v>139</v>
      </c>
      <c r="D37" s="18" t="s">
        <v>143</v>
      </c>
      <c r="E37" s="17" t="s">
        <v>22</v>
      </c>
      <c r="F37" s="18" t="s">
        <v>138</v>
      </c>
      <c r="G37" s="17"/>
      <c r="H37" s="17" t="s">
        <v>3</v>
      </c>
    </row>
    <row r="38" spans="1:8" ht="30" customHeight="1" x14ac:dyDescent="0.3">
      <c r="A38" s="17" t="s">
        <v>144</v>
      </c>
      <c r="B38" s="17" t="s">
        <v>126</v>
      </c>
      <c r="C38" s="18" t="s">
        <v>145</v>
      </c>
      <c r="D38" s="18" t="s">
        <v>146</v>
      </c>
      <c r="E38" s="17" t="s">
        <v>21</v>
      </c>
      <c r="F38" s="18" t="s">
        <v>147</v>
      </c>
      <c r="G38" s="17"/>
      <c r="H38" s="17" t="s">
        <v>3</v>
      </c>
    </row>
    <row r="39" spans="1:8" ht="30" customHeight="1" x14ac:dyDescent="0.3">
      <c r="A39" s="17" t="s">
        <v>148</v>
      </c>
      <c r="B39" s="17" t="s">
        <v>126</v>
      </c>
      <c r="C39" s="18" t="s">
        <v>145</v>
      </c>
      <c r="D39" s="18" t="s">
        <v>149</v>
      </c>
      <c r="E39" s="17" t="s">
        <v>21</v>
      </c>
      <c r="F39" s="18" t="s">
        <v>144</v>
      </c>
      <c r="G39" s="17"/>
      <c r="H39" s="17" t="s">
        <v>3</v>
      </c>
    </row>
    <row r="40" spans="1:8" ht="30" customHeight="1" x14ac:dyDescent="0.3">
      <c r="A40" s="17" t="s">
        <v>150</v>
      </c>
      <c r="B40" s="17" t="s">
        <v>126</v>
      </c>
      <c r="C40" s="18" t="s">
        <v>151</v>
      </c>
      <c r="D40" s="18" t="s">
        <v>152</v>
      </c>
      <c r="E40" s="17" t="s">
        <v>22</v>
      </c>
      <c r="F40" s="18" t="s">
        <v>153</v>
      </c>
      <c r="G40" s="17"/>
      <c r="H40" s="17" t="s">
        <v>3</v>
      </c>
    </row>
    <row r="41" spans="1:8" ht="30" customHeight="1" x14ac:dyDescent="0.3">
      <c r="A41" s="17" t="s">
        <v>154</v>
      </c>
      <c r="B41" s="17" t="s">
        <v>126</v>
      </c>
      <c r="C41" s="18" t="s">
        <v>151</v>
      </c>
      <c r="D41" s="18" t="s">
        <v>155</v>
      </c>
      <c r="E41" s="17" t="s">
        <v>22</v>
      </c>
      <c r="F41" s="18" t="s">
        <v>150</v>
      </c>
      <c r="G41" s="17"/>
      <c r="H41" s="17" t="s">
        <v>3</v>
      </c>
    </row>
    <row r="42" spans="1:8" ht="30" customHeight="1" x14ac:dyDescent="0.3">
      <c r="A42" s="17" t="s">
        <v>156</v>
      </c>
      <c r="B42" s="17" t="s">
        <v>126</v>
      </c>
      <c r="C42" s="18" t="s">
        <v>157</v>
      </c>
      <c r="D42" s="18" t="s">
        <v>158</v>
      </c>
      <c r="E42" s="17" t="s">
        <v>22</v>
      </c>
      <c r="F42" s="18" t="s">
        <v>159</v>
      </c>
      <c r="G42" s="17"/>
      <c r="H42" s="17" t="s">
        <v>3</v>
      </c>
    </row>
    <row r="43" spans="1:8" ht="30" customHeight="1" x14ac:dyDescent="0.3">
      <c r="A43" s="17" t="s">
        <v>160</v>
      </c>
      <c r="B43" s="17" t="s">
        <v>126</v>
      </c>
      <c r="C43" s="18" t="s">
        <v>157</v>
      </c>
      <c r="D43" s="18" t="s">
        <v>161</v>
      </c>
      <c r="E43" s="17" t="s">
        <v>22</v>
      </c>
      <c r="F43" s="18" t="s">
        <v>156</v>
      </c>
      <c r="G43" s="17"/>
      <c r="H43" s="17" t="s">
        <v>3</v>
      </c>
    </row>
    <row r="44" spans="1:8" ht="30" customHeight="1" x14ac:dyDescent="0.3">
      <c r="A44" s="17" t="s">
        <v>162</v>
      </c>
      <c r="B44" s="17" t="s">
        <v>126</v>
      </c>
      <c r="C44" s="18" t="s">
        <v>163</v>
      </c>
      <c r="D44" s="18" t="s">
        <v>164</v>
      </c>
      <c r="E44" s="17" t="s">
        <v>22</v>
      </c>
      <c r="F44" s="18" t="s">
        <v>165</v>
      </c>
      <c r="G44" s="17"/>
      <c r="H44" s="17" t="s">
        <v>3</v>
      </c>
    </row>
    <row r="45" spans="1:8" ht="30" customHeight="1" x14ac:dyDescent="0.3">
      <c r="A45" s="17" t="s">
        <v>166</v>
      </c>
      <c r="B45" s="17" t="s">
        <v>126</v>
      </c>
      <c r="C45" s="18" t="s">
        <v>163</v>
      </c>
      <c r="D45" s="18" t="s">
        <v>167</v>
      </c>
      <c r="E45" s="17" t="s">
        <v>22</v>
      </c>
      <c r="F45" s="18" t="s">
        <v>162</v>
      </c>
      <c r="G45" s="17"/>
      <c r="H45" s="17" t="s">
        <v>3</v>
      </c>
    </row>
    <row r="46" spans="1:8" ht="30" customHeight="1" x14ac:dyDescent="0.3">
      <c r="A46" s="17" t="s">
        <v>168</v>
      </c>
      <c r="B46" s="17" t="s">
        <v>126</v>
      </c>
      <c r="C46" s="18" t="s">
        <v>169</v>
      </c>
      <c r="D46" s="18" t="s">
        <v>170</v>
      </c>
      <c r="E46" s="17" t="s">
        <v>22</v>
      </c>
      <c r="F46" s="18" t="s">
        <v>171</v>
      </c>
      <c r="G46" s="17"/>
      <c r="H46" s="17" t="s">
        <v>3</v>
      </c>
    </row>
    <row r="47" spans="1:8" ht="30" customHeight="1" x14ac:dyDescent="0.3">
      <c r="A47" s="17" t="s">
        <v>172</v>
      </c>
      <c r="B47" s="17" t="s">
        <v>126</v>
      </c>
      <c r="C47" s="18" t="s">
        <v>169</v>
      </c>
      <c r="D47" s="18" t="s">
        <v>173</v>
      </c>
      <c r="E47" s="17" t="s">
        <v>22</v>
      </c>
      <c r="F47" s="18" t="s">
        <v>168</v>
      </c>
      <c r="G47" s="17"/>
      <c r="H47" s="17" t="s">
        <v>3</v>
      </c>
    </row>
    <row r="48" spans="1:8" ht="30" customHeight="1" x14ac:dyDescent="0.3">
      <c r="A48" s="17" t="s">
        <v>174</v>
      </c>
      <c r="B48" s="17" t="s">
        <v>175</v>
      </c>
      <c r="C48" s="18" t="s">
        <v>176</v>
      </c>
      <c r="D48" s="18" t="s">
        <v>177</v>
      </c>
      <c r="E48" s="17" t="s">
        <v>21</v>
      </c>
      <c r="F48" s="18" t="s">
        <v>178</v>
      </c>
      <c r="G48" s="17"/>
      <c r="H48" s="17" t="s">
        <v>3</v>
      </c>
    </row>
    <row r="49" spans="1:8" ht="30" customHeight="1" x14ac:dyDescent="0.3">
      <c r="A49" s="17" t="s">
        <v>179</v>
      </c>
      <c r="B49" s="17" t="s">
        <v>175</v>
      </c>
      <c r="C49" s="18" t="s">
        <v>176</v>
      </c>
      <c r="D49" s="18" t="s">
        <v>180</v>
      </c>
      <c r="E49" s="17" t="s">
        <v>21</v>
      </c>
      <c r="F49" s="18" t="s">
        <v>174</v>
      </c>
      <c r="G49" s="17"/>
      <c r="H49" s="17" t="s">
        <v>3</v>
      </c>
    </row>
    <row r="50" spans="1:8" ht="30" customHeight="1" x14ac:dyDescent="0.3">
      <c r="A50" s="17" t="s">
        <v>181</v>
      </c>
      <c r="B50" s="17" t="s">
        <v>175</v>
      </c>
      <c r="C50" s="18" t="s">
        <v>182</v>
      </c>
      <c r="D50" s="18" t="s">
        <v>183</v>
      </c>
      <c r="E50" s="17" t="s">
        <v>21</v>
      </c>
      <c r="F50" s="18" t="s">
        <v>184</v>
      </c>
      <c r="G50" s="17"/>
      <c r="H50" s="17" t="s">
        <v>3</v>
      </c>
    </row>
    <row r="51" spans="1:8" ht="30" customHeight="1" x14ac:dyDescent="0.3">
      <c r="A51" s="17" t="s">
        <v>185</v>
      </c>
      <c r="B51" s="17" t="s">
        <v>175</v>
      </c>
      <c r="C51" s="18" t="s">
        <v>182</v>
      </c>
      <c r="D51" s="18" t="s">
        <v>186</v>
      </c>
      <c r="E51" s="17" t="s">
        <v>21</v>
      </c>
      <c r="F51" s="18" t="s">
        <v>181</v>
      </c>
      <c r="G51" s="17"/>
      <c r="H51" s="17" t="s">
        <v>3</v>
      </c>
    </row>
    <row r="52" spans="1:8" ht="30" customHeight="1" x14ac:dyDescent="0.3">
      <c r="A52" s="17" t="s">
        <v>187</v>
      </c>
      <c r="B52" s="17" t="s">
        <v>175</v>
      </c>
      <c r="C52" s="18" t="s">
        <v>188</v>
      </c>
      <c r="D52" s="18" t="s">
        <v>189</v>
      </c>
      <c r="E52" s="17" t="s">
        <v>22</v>
      </c>
      <c r="F52" s="18" t="s">
        <v>190</v>
      </c>
      <c r="G52" s="17"/>
      <c r="H52" s="17" t="s">
        <v>3</v>
      </c>
    </row>
    <row r="53" spans="1:8" ht="30" customHeight="1" x14ac:dyDescent="0.3">
      <c r="A53" s="17" t="s">
        <v>191</v>
      </c>
      <c r="B53" s="17" t="s">
        <v>175</v>
      </c>
      <c r="C53" s="18" t="s">
        <v>188</v>
      </c>
      <c r="D53" s="18" t="s">
        <v>192</v>
      </c>
      <c r="E53" s="17" t="s">
        <v>22</v>
      </c>
      <c r="F53" s="18" t="s">
        <v>187</v>
      </c>
      <c r="G53" s="17"/>
      <c r="H53" s="17" t="s">
        <v>3</v>
      </c>
    </row>
    <row r="54" spans="1:8" ht="30" customHeight="1" x14ac:dyDescent="0.3">
      <c r="A54" s="17" t="s">
        <v>193</v>
      </c>
      <c r="B54" s="17" t="s">
        <v>175</v>
      </c>
      <c r="C54" s="18" t="s">
        <v>194</v>
      </c>
      <c r="D54" s="18" t="s">
        <v>195</v>
      </c>
      <c r="E54" s="17" t="s">
        <v>22</v>
      </c>
      <c r="F54" s="18" t="s">
        <v>196</v>
      </c>
      <c r="G54" s="17"/>
      <c r="H54" s="17" t="s">
        <v>3</v>
      </c>
    </row>
    <row r="55" spans="1:8" ht="30" customHeight="1" x14ac:dyDescent="0.3">
      <c r="A55" s="17" t="s">
        <v>197</v>
      </c>
      <c r="B55" s="17" t="s">
        <v>175</v>
      </c>
      <c r="C55" s="18" t="s">
        <v>194</v>
      </c>
      <c r="D55" s="18" t="s">
        <v>198</v>
      </c>
      <c r="E55" s="17" t="s">
        <v>22</v>
      </c>
      <c r="F55" s="18" t="s">
        <v>193</v>
      </c>
      <c r="G55" s="17"/>
      <c r="H55" s="17" t="s">
        <v>3</v>
      </c>
    </row>
    <row r="56" spans="1:8" ht="30" customHeight="1" x14ac:dyDescent="0.3">
      <c r="A56" s="17" t="s">
        <v>199</v>
      </c>
      <c r="B56" s="17" t="s">
        <v>175</v>
      </c>
      <c r="C56" s="18" t="s">
        <v>200</v>
      </c>
      <c r="D56" s="18" t="s">
        <v>201</v>
      </c>
      <c r="E56" s="17" t="s">
        <v>22</v>
      </c>
      <c r="F56" s="18" t="s">
        <v>202</v>
      </c>
      <c r="G56" s="17"/>
      <c r="H56" s="17" t="s">
        <v>3</v>
      </c>
    </row>
    <row r="57" spans="1:8" ht="30" customHeight="1" x14ac:dyDescent="0.3">
      <c r="A57" s="17" t="s">
        <v>203</v>
      </c>
      <c r="B57" s="17" t="s">
        <v>175</v>
      </c>
      <c r="C57" s="18" t="s">
        <v>200</v>
      </c>
      <c r="D57" s="18" t="s">
        <v>204</v>
      </c>
      <c r="E57" s="17" t="s">
        <v>22</v>
      </c>
      <c r="F57" s="18" t="s">
        <v>199</v>
      </c>
      <c r="G57" s="17"/>
      <c r="H57" s="17" t="s">
        <v>3</v>
      </c>
    </row>
    <row r="58" spans="1:8" ht="30" customHeight="1" x14ac:dyDescent="0.3">
      <c r="A58" s="17" t="s">
        <v>205</v>
      </c>
      <c r="B58" s="17" t="s">
        <v>175</v>
      </c>
      <c r="C58" s="18" t="s">
        <v>206</v>
      </c>
      <c r="D58" s="18" t="s">
        <v>207</v>
      </c>
      <c r="E58" s="17" t="s">
        <v>22</v>
      </c>
      <c r="F58" s="18" t="s">
        <v>208</v>
      </c>
      <c r="G58" s="17"/>
      <c r="H58" s="17" t="s">
        <v>3</v>
      </c>
    </row>
    <row r="59" spans="1:8" ht="30" customHeight="1" x14ac:dyDescent="0.3">
      <c r="A59" s="17" t="s">
        <v>209</v>
      </c>
      <c r="B59" s="17" t="s">
        <v>175</v>
      </c>
      <c r="C59" s="18" t="s">
        <v>206</v>
      </c>
      <c r="D59" s="18" t="s">
        <v>210</v>
      </c>
      <c r="E59" s="17" t="s">
        <v>22</v>
      </c>
      <c r="F59" s="18" t="s">
        <v>205</v>
      </c>
      <c r="G59" s="17"/>
      <c r="H59" s="17" t="s">
        <v>3</v>
      </c>
    </row>
    <row r="60" spans="1:8" ht="30" customHeight="1" x14ac:dyDescent="0.3">
      <c r="A60" s="17" t="s">
        <v>211</v>
      </c>
      <c r="B60" s="17" t="s">
        <v>175</v>
      </c>
      <c r="C60" s="18" t="s">
        <v>212</v>
      </c>
      <c r="D60" s="18" t="s">
        <v>213</v>
      </c>
      <c r="E60" s="17" t="s">
        <v>22</v>
      </c>
      <c r="F60" s="18" t="s">
        <v>214</v>
      </c>
      <c r="G60" s="17"/>
      <c r="H60" s="17" t="s">
        <v>3</v>
      </c>
    </row>
    <row r="61" spans="1:8" ht="30" customHeight="1" x14ac:dyDescent="0.3">
      <c r="A61" s="17" t="s">
        <v>215</v>
      </c>
      <c r="B61" s="17" t="s">
        <v>175</v>
      </c>
      <c r="C61" s="18" t="s">
        <v>212</v>
      </c>
      <c r="D61" s="18" t="s">
        <v>216</v>
      </c>
      <c r="E61" s="17" t="s">
        <v>22</v>
      </c>
      <c r="F61" s="18" t="s">
        <v>211</v>
      </c>
      <c r="G61" s="17"/>
      <c r="H61" s="17" t="s">
        <v>3</v>
      </c>
    </row>
    <row r="62" spans="1:8" ht="30" customHeight="1" x14ac:dyDescent="0.3">
      <c r="A62" s="17" t="s">
        <v>217</v>
      </c>
      <c r="B62" s="17" t="s">
        <v>218</v>
      </c>
      <c r="C62" s="18" t="s">
        <v>219</v>
      </c>
      <c r="D62" s="18" t="s">
        <v>220</v>
      </c>
      <c r="E62" s="17" t="s">
        <v>21</v>
      </c>
      <c r="F62" s="18" t="s">
        <v>221</v>
      </c>
      <c r="G62" s="17"/>
      <c r="H62" s="17" t="s">
        <v>3</v>
      </c>
    </row>
    <row r="63" spans="1:8" ht="30" customHeight="1" x14ac:dyDescent="0.3">
      <c r="A63" s="17" t="s">
        <v>222</v>
      </c>
      <c r="B63" s="17" t="s">
        <v>218</v>
      </c>
      <c r="C63" s="18" t="s">
        <v>219</v>
      </c>
      <c r="D63" s="18" t="s">
        <v>223</v>
      </c>
      <c r="E63" s="17" t="s">
        <v>21</v>
      </c>
      <c r="F63" s="18" t="s">
        <v>217</v>
      </c>
      <c r="G63" s="17"/>
      <c r="H63" s="17" t="s">
        <v>3</v>
      </c>
    </row>
    <row r="64" spans="1:8" ht="30" customHeight="1" x14ac:dyDescent="0.3">
      <c r="A64" s="17" t="s">
        <v>224</v>
      </c>
      <c r="B64" s="17" t="s">
        <v>218</v>
      </c>
      <c r="C64" s="18" t="s">
        <v>225</v>
      </c>
      <c r="D64" s="18" t="s">
        <v>226</v>
      </c>
      <c r="E64" s="17" t="s">
        <v>22</v>
      </c>
      <c r="F64" s="18" t="s">
        <v>227</v>
      </c>
      <c r="G64" s="17"/>
      <c r="H64" s="17" t="s">
        <v>3</v>
      </c>
    </row>
    <row r="65" spans="1:8" ht="30" customHeight="1" x14ac:dyDescent="0.3">
      <c r="A65" s="17" t="s">
        <v>228</v>
      </c>
      <c r="B65" s="17" t="s">
        <v>218</v>
      </c>
      <c r="C65" s="18" t="s">
        <v>225</v>
      </c>
      <c r="D65" s="18" t="s">
        <v>229</v>
      </c>
      <c r="E65" s="17" t="s">
        <v>22</v>
      </c>
      <c r="F65" s="18" t="s">
        <v>224</v>
      </c>
      <c r="G65" s="17"/>
      <c r="H65" s="17" t="s">
        <v>3</v>
      </c>
    </row>
    <row r="66" spans="1:8" ht="30" customHeight="1" x14ac:dyDescent="0.3">
      <c r="A66" s="17" t="s">
        <v>230</v>
      </c>
      <c r="B66" s="17" t="s">
        <v>218</v>
      </c>
      <c r="C66" s="18" t="s">
        <v>231</v>
      </c>
      <c r="D66" s="18" t="s">
        <v>232</v>
      </c>
      <c r="E66" s="17" t="s">
        <v>22</v>
      </c>
      <c r="F66" s="18" t="s">
        <v>233</v>
      </c>
      <c r="G66" s="17"/>
      <c r="H66" s="17" t="s">
        <v>3</v>
      </c>
    </row>
    <row r="67" spans="1:8" ht="30" customHeight="1" x14ac:dyDescent="0.3">
      <c r="A67" s="17" t="s">
        <v>234</v>
      </c>
      <c r="B67" s="17" t="s">
        <v>218</v>
      </c>
      <c r="C67" s="18" t="s">
        <v>231</v>
      </c>
      <c r="D67" s="18" t="s">
        <v>235</v>
      </c>
      <c r="E67" s="17" t="s">
        <v>22</v>
      </c>
      <c r="F67" s="18" t="s">
        <v>230</v>
      </c>
      <c r="G67" s="17"/>
      <c r="H67" s="17" t="s">
        <v>3</v>
      </c>
    </row>
    <row r="68" spans="1:8" ht="30" customHeight="1" x14ac:dyDescent="0.3">
      <c r="A68" s="17" t="s">
        <v>236</v>
      </c>
      <c r="B68" s="17" t="s">
        <v>218</v>
      </c>
      <c r="C68" s="18" t="s">
        <v>237</v>
      </c>
      <c r="D68" s="18" t="s">
        <v>238</v>
      </c>
      <c r="E68" s="17" t="s">
        <v>22</v>
      </c>
      <c r="F68" s="18" t="s">
        <v>239</v>
      </c>
      <c r="G68" s="17"/>
      <c r="H68" s="17" t="s">
        <v>3</v>
      </c>
    </row>
    <row r="69" spans="1:8" ht="30" customHeight="1" x14ac:dyDescent="0.3">
      <c r="A69" s="17" t="s">
        <v>240</v>
      </c>
      <c r="B69" s="17" t="s">
        <v>218</v>
      </c>
      <c r="C69" s="18" t="s">
        <v>237</v>
      </c>
      <c r="D69" s="18" t="s">
        <v>241</v>
      </c>
      <c r="E69" s="17" t="s">
        <v>22</v>
      </c>
      <c r="F69" s="18" t="s">
        <v>236</v>
      </c>
      <c r="G69" s="17"/>
      <c r="H69" s="17" t="s">
        <v>3</v>
      </c>
    </row>
    <row r="70" spans="1:8" ht="30" customHeight="1" x14ac:dyDescent="0.3">
      <c r="A70" s="17" t="s">
        <v>242</v>
      </c>
      <c r="B70" s="17" t="s">
        <v>218</v>
      </c>
      <c r="C70" s="18" t="s">
        <v>243</v>
      </c>
      <c r="D70" s="18" t="s">
        <v>244</v>
      </c>
      <c r="E70" s="17" t="s">
        <v>22</v>
      </c>
      <c r="F70" s="18" t="s">
        <v>245</v>
      </c>
      <c r="G70" s="17"/>
      <c r="H70" s="17" t="s">
        <v>3</v>
      </c>
    </row>
    <row r="71" spans="1:8" ht="30" customHeight="1" x14ac:dyDescent="0.3">
      <c r="A71" s="17" t="s">
        <v>246</v>
      </c>
      <c r="B71" s="17" t="s">
        <v>218</v>
      </c>
      <c r="C71" s="18" t="s">
        <v>243</v>
      </c>
      <c r="D71" s="18" t="s">
        <v>247</v>
      </c>
      <c r="E71" s="17" t="s">
        <v>22</v>
      </c>
      <c r="F71" s="18" t="s">
        <v>242</v>
      </c>
      <c r="G71" s="17"/>
      <c r="H71" s="17" t="s">
        <v>3</v>
      </c>
    </row>
    <row r="72" spans="1:8" ht="30" customHeight="1" x14ac:dyDescent="0.3">
      <c r="A72" s="17" t="s">
        <v>248</v>
      </c>
      <c r="B72" s="17" t="s">
        <v>218</v>
      </c>
      <c r="C72" s="18" t="s">
        <v>249</v>
      </c>
      <c r="D72" s="18" t="s">
        <v>250</v>
      </c>
      <c r="E72" s="17" t="s">
        <v>22</v>
      </c>
      <c r="F72" s="18" t="s">
        <v>251</v>
      </c>
      <c r="G72" s="17"/>
      <c r="H72" s="17" t="s">
        <v>3</v>
      </c>
    </row>
    <row r="73" spans="1:8" ht="30" customHeight="1" x14ac:dyDescent="0.3">
      <c r="A73" s="17" t="s">
        <v>252</v>
      </c>
      <c r="B73" s="17" t="s">
        <v>218</v>
      </c>
      <c r="C73" s="18" t="s">
        <v>249</v>
      </c>
      <c r="D73" s="18" t="s">
        <v>253</v>
      </c>
      <c r="E73" s="17" t="s">
        <v>22</v>
      </c>
      <c r="F73" s="18" t="s">
        <v>248</v>
      </c>
      <c r="G73" s="17"/>
      <c r="H73" s="17" t="s">
        <v>3</v>
      </c>
    </row>
    <row r="74" spans="1:8" ht="30" customHeight="1" x14ac:dyDescent="0.3">
      <c r="A74" s="17" t="s">
        <v>254</v>
      </c>
      <c r="B74" s="17" t="s">
        <v>255</v>
      </c>
      <c r="C74" s="18" t="s">
        <v>256</v>
      </c>
      <c r="D74" s="18" t="s">
        <v>257</v>
      </c>
      <c r="E74" s="17" t="s">
        <v>22</v>
      </c>
      <c r="F74" s="18" t="s">
        <v>258</v>
      </c>
      <c r="G74" s="17"/>
      <c r="H74" s="17" t="s">
        <v>3</v>
      </c>
    </row>
    <row r="75" spans="1:8" ht="30" customHeight="1" x14ac:dyDescent="0.3">
      <c r="A75" s="17" t="s">
        <v>259</v>
      </c>
      <c r="B75" s="17" t="s">
        <v>255</v>
      </c>
      <c r="C75" s="18" t="s">
        <v>256</v>
      </c>
      <c r="D75" s="18" t="s">
        <v>260</v>
      </c>
      <c r="E75" s="17" t="s">
        <v>22</v>
      </c>
      <c r="F75" s="18" t="s">
        <v>254</v>
      </c>
      <c r="G75" s="17"/>
      <c r="H75" s="17" t="s">
        <v>3</v>
      </c>
    </row>
    <row r="76" spans="1:8" ht="30" customHeight="1" x14ac:dyDescent="0.3">
      <c r="A76" s="17" t="s">
        <v>261</v>
      </c>
      <c r="B76" s="17" t="s">
        <v>255</v>
      </c>
      <c r="C76" s="18" t="s">
        <v>262</v>
      </c>
      <c r="D76" s="18" t="s">
        <v>263</v>
      </c>
      <c r="E76" s="17" t="s">
        <v>22</v>
      </c>
      <c r="F76" s="18" t="s">
        <v>264</v>
      </c>
      <c r="G76" s="17"/>
      <c r="H76" s="17" t="s">
        <v>3</v>
      </c>
    </row>
    <row r="77" spans="1:8" ht="30" customHeight="1" x14ac:dyDescent="0.3">
      <c r="A77" s="17" t="s">
        <v>265</v>
      </c>
      <c r="B77" s="17" t="s">
        <v>255</v>
      </c>
      <c r="C77" s="18" t="s">
        <v>262</v>
      </c>
      <c r="D77" s="18" t="s">
        <v>266</v>
      </c>
      <c r="E77" s="17" t="s">
        <v>22</v>
      </c>
      <c r="F77" s="18" t="s">
        <v>261</v>
      </c>
      <c r="G77" s="17"/>
      <c r="H77" s="17" t="s">
        <v>3</v>
      </c>
    </row>
    <row r="78" spans="1:8" ht="30" customHeight="1" x14ac:dyDescent="0.3">
      <c r="A78" s="17" t="s">
        <v>267</v>
      </c>
      <c r="B78" s="17" t="s">
        <v>255</v>
      </c>
      <c r="C78" s="18" t="s">
        <v>268</v>
      </c>
      <c r="D78" s="18" t="s">
        <v>269</v>
      </c>
      <c r="E78" s="17" t="s">
        <v>22</v>
      </c>
      <c r="F78" s="18" t="s">
        <v>270</v>
      </c>
      <c r="G78" s="17"/>
      <c r="H78" s="17" t="s">
        <v>3</v>
      </c>
    </row>
    <row r="79" spans="1:8" ht="30" customHeight="1" x14ac:dyDescent="0.3">
      <c r="A79" s="17" t="s">
        <v>271</v>
      </c>
      <c r="B79" s="17" t="s">
        <v>255</v>
      </c>
      <c r="C79" s="18" t="s">
        <v>268</v>
      </c>
      <c r="D79" s="18" t="s">
        <v>272</v>
      </c>
      <c r="E79" s="17" t="s">
        <v>22</v>
      </c>
      <c r="F79" s="18" t="s">
        <v>267</v>
      </c>
      <c r="G79" s="17"/>
      <c r="H79" s="17" t="s">
        <v>3</v>
      </c>
    </row>
    <row r="80" spans="1:8" ht="30" customHeight="1" x14ac:dyDescent="0.3">
      <c r="A80" s="17" t="s">
        <v>273</v>
      </c>
      <c r="B80" s="17" t="s">
        <v>274</v>
      </c>
      <c r="C80" s="18" t="s">
        <v>275</v>
      </c>
      <c r="D80" s="18" t="s">
        <v>276</v>
      </c>
      <c r="E80" s="17" t="s">
        <v>22</v>
      </c>
      <c r="F80" s="18" t="s">
        <v>277</v>
      </c>
      <c r="G80" s="17"/>
      <c r="H80" s="17" t="s">
        <v>3</v>
      </c>
    </row>
    <row r="81" spans="1:8" ht="30" customHeight="1" x14ac:dyDescent="0.3">
      <c r="A81" s="17" t="s">
        <v>278</v>
      </c>
      <c r="B81" s="17" t="s">
        <v>274</v>
      </c>
      <c r="C81" s="18" t="s">
        <v>275</v>
      </c>
      <c r="D81" s="18" t="s">
        <v>279</v>
      </c>
      <c r="E81" s="17" t="s">
        <v>22</v>
      </c>
      <c r="F81" s="18" t="s">
        <v>273</v>
      </c>
      <c r="G81" s="17"/>
      <c r="H81" s="17" t="s">
        <v>3</v>
      </c>
    </row>
    <row r="82" spans="1:8" ht="30" customHeight="1" x14ac:dyDescent="0.3">
      <c r="A82" s="17" t="s">
        <v>280</v>
      </c>
      <c r="B82" s="17" t="s">
        <v>274</v>
      </c>
      <c r="C82" s="18" t="s">
        <v>281</v>
      </c>
      <c r="D82" s="18" t="s">
        <v>282</v>
      </c>
      <c r="E82" s="17" t="s">
        <v>23</v>
      </c>
      <c r="F82" s="18" t="s">
        <v>283</v>
      </c>
      <c r="G82" s="17"/>
      <c r="H82" s="17" t="s">
        <v>3</v>
      </c>
    </row>
    <row r="83" spans="1:8" ht="30" customHeight="1" x14ac:dyDescent="0.3">
      <c r="A83" s="17" t="s">
        <v>284</v>
      </c>
      <c r="B83" s="17" t="s">
        <v>274</v>
      </c>
      <c r="C83" s="18" t="s">
        <v>281</v>
      </c>
      <c r="D83" s="18" t="s">
        <v>285</v>
      </c>
      <c r="E83" s="17" t="s">
        <v>23</v>
      </c>
      <c r="F83" s="18" t="s">
        <v>280</v>
      </c>
      <c r="G83" s="17"/>
      <c r="H83" s="17" t="s">
        <v>3</v>
      </c>
    </row>
    <row r="84" spans="1:8" ht="30" customHeight="1" x14ac:dyDescent="0.3">
      <c r="A84" s="17" t="s">
        <v>286</v>
      </c>
      <c r="B84" s="17" t="s">
        <v>274</v>
      </c>
      <c r="C84" s="18" t="s">
        <v>287</v>
      </c>
      <c r="D84" s="18" t="s">
        <v>288</v>
      </c>
      <c r="E84" s="17" t="s">
        <v>23</v>
      </c>
      <c r="F84" s="18" t="s">
        <v>289</v>
      </c>
      <c r="G84" s="17"/>
      <c r="H84" s="17" t="s">
        <v>3</v>
      </c>
    </row>
    <row r="85" spans="1:8" ht="30" customHeight="1" x14ac:dyDescent="0.3">
      <c r="A85" s="17" t="s">
        <v>290</v>
      </c>
      <c r="B85" s="17" t="s">
        <v>274</v>
      </c>
      <c r="C85" s="18" t="s">
        <v>287</v>
      </c>
      <c r="D85" s="18" t="s">
        <v>291</v>
      </c>
      <c r="E85" s="17" t="s">
        <v>23</v>
      </c>
      <c r="F85" s="18" t="s">
        <v>286</v>
      </c>
      <c r="G85" s="17"/>
      <c r="H85" s="17" t="s">
        <v>3</v>
      </c>
    </row>
    <row r="86" spans="1:8" ht="30" customHeight="1" x14ac:dyDescent="0.3">
      <c r="A86" s="17" t="s">
        <v>292</v>
      </c>
      <c r="B86" s="17" t="s">
        <v>274</v>
      </c>
      <c r="C86" s="18" t="s">
        <v>293</v>
      </c>
      <c r="D86" s="18" t="s">
        <v>294</v>
      </c>
      <c r="E86" s="17" t="s">
        <v>23</v>
      </c>
      <c r="F86" s="18" t="s">
        <v>295</v>
      </c>
      <c r="G86" s="17"/>
      <c r="H86" s="17" t="s">
        <v>3</v>
      </c>
    </row>
    <row r="87" spans="1:8" ht="30" customHeight="1" x14ac:dyDescent="0.3">
      <c r="A87" s="17" t="s">
        <v>296</v>
      </c>
      <c r="B87" s="17" t="s">
        <v>274</v>
      </c>
      <c r="C87" s="18" t="s">
        <v>293</v>
      </c>
      <c r="D87" s="18" t="s">
        <v>297</v>
      </c>
      <c r="E87" s="17" t="s">
        <v>23</v>
      </c>
      <c r="F87" s="18" t="s">
        <v>292</v>
      </c>
      <c r="G87" s="17"/>
      <c r="H87" s="17" t="s">
        <v>3</v>
      </c>
    </row>
    <row r="88" spans="1:8" ht="30" customHeight="1" x14ac:dyDescent="0.3">
      <c r="A88" s="17" t="s">
        <v>298</v>
      </c>
      <c r="B88" s="17" t="s">
        <v>274</v>
      </c>
      <c r="C88" s="18" t="s">
        <v>299</v>
      </c>
      <c r="D88" s="18" t="s">
        <v>300</v>
      </c>
      <c r="E88" s="17" t="s">
        <v>23</v>
      </c>
      <c r="F88" s="18" t="s">
        <v>301</v>
      </c>
      <c r="G88" s="17"/>
      <c r="H88" s="17" t="s">
        <v>3</v>
      </c>
    </row>
    <row r="89" spans="1:8" ht="30" customHeight="1" x14ac:dyDescent="0.3">
      <c r="A89" s="17" t="s">
        <v>302</v>
      </c>
      <c r="B89" s="17" t="s">
        <v>274</v>
      </c>
      <c r="C89" s="18" t="s">
        <v>299</v>
      </c>
      <c r="D89" s="18" t="s">
        <v>303</v>
      </c>
      <c r="E89" s="17" t="s">
        <v>23</v>
      </c>
      <c r="F89" s="18" t="s">
        <v>298</v>
      </c>
      <c r="G89" s="17"/>
      <c r="H89" s="17" t="s">
        <v>3</v>
      </c>
    </row>
    <row r="90" spans="1:8" ht="30" customHeight="1" x14ac:dyDescent="0.3">
      <c r="A90" s="17" t="s">
        <v>304</v>
      </c>
      <c r="B90" s="17" t="s">
        <v>274</v>
      </c>
      <c r="C90" s="18" t="s">
        <v>305</v>
      </c>
      <c r="D90" s="18" t="s">
        <v>306</v>
      </c>
      <c r="E90" s="17" t="s">
        <v>23</v>
      </c>
      <c r="F90" s="18" t="s">
        <v>307</v>
      </c>
      <c r="G90" s="17"/>
      <c r="H90" s="17" t="s">
        <v>3</v>
      </c>
    </row>
    <row r="91" spans="1:8" ht="30" customHeight="1" x14ac:dyDescent="0.3">
      <c r="A91" s="17" t="s">
        <v>308</v>
      </c>
      <c r="B91" s="17" t="s">
        <v>274</v>
      </c>
      <c r="C91" s="18" t="s">
        <v>305</v>
      </c>
      <c r="D91" s="18" t="s">
        <v>309</v>
      </c>
      <c r="E91" s="17" t="s">
        <v>23</v>
      </c>
      <c r="F91" s="18" t="s">
        <v>304</v>
      </c>
      <c r="G91" s="17"/>
      <c r="H91" s="17" t="s">
        <v>3</v>
      </c>
    </row>
    <row r="92" spans="1:8" ht="30" customHeight="1" x14ac:dyDescent="0.3">
      <c r="A92" s="17" t="s">
        <v>310</v>
      </c>
      <c r="B92" s="17" t="s">
        <v>274</v>
      </c>
      <c r="C92" s="18" t="s">
        <v>311</v>
      </c>
      <c r="D92" s="18" t="s">
        <v>312</v>
      </c>
      <c r="E92" s="17" t="s">
        <v>23</v>
      </c>
      <c r="F92" s="18" t="s">
        <v>313</v>
      </c>
      <c r="G92" s="17"/>
      <c r="H92" s="17" t="s">
        <v>3</v>
      </c>
    </row>
    <row r="93" spans="1:8" ht="30" customHeight="1" x14ac:dyDescent="0.3">
      <c r="A93" s="17" t="s">
        <v>314</v>
      </c>
      <c r="B93" s="17" t="s">
        <v>274</v>
      </c>
      <c r="C93" s="18" t="s">
        <v>311</v>
      </c>
      <c r="D93" s="18" t="s">
        <v>315</v>
      </c>
      <c r="E93" s="17" t="s">
        <v>23</v>
      </c>
      <c r="F93" s="18" t="s">
        <v>310</v>
      </c>
      <c r="G93" s="17"/>
      <c r="H93" s="17" t="s">
        <v>3</v>
      </c>
    </row>
    <row r="94" spans="1:8" ht="30" customHeight="1" x14ac:dyDescent="0.3">
      <c r="A94" s="17" t="s">
        <v>316</v>
      </c>
      <c r="B94" s="17" t="s">
        <v>34</v>
      </c>
      <c r="C94" s="18" t="s">
        <v>317</v>
      </c>
      <c r="D94" s="18" t="s">
        <v>318</v>
      </c>
      <c r="E94" s="17" t="s">
        <v>21</v>
      </c>
      <c r="F94" s="18" t="s">
        <v>319</v>
      </c>
      <c r="G94" s="17"/>
      <c r="H94" s="17" t="s">
        <v>4</v>
      </c>
    </row>
    <row r="95" spans="1:8" ht="30" customHeight="1" x14ac:dyDescent="0.3">
      <c r="A95" s="17" t="s">
        <v>320</v>
      </c>
      <c r="B95" s="17" t="s">
        <v>34</v>
      </c>
      <c r="C95" s="18" t="s">
        <v>317</v>
      </c>
      <c r="D95" s="18" t="s">
        <v>321</v>
      </c>
      <c r="E95" s="17" t="s">
        <v>21</v>
      </c>
      <c r="F95" s="18" t="s">
        <v>319</v>
      </c>
      <c r="G95" s="17"/>
      <c r="H95" s="17" t="s">
        <v>3</v>
      </c>
    </row>
    <row r="96" spans="1:8" ht="30" customHeight="1" x14ac:dyDescent="0.3">
      <c r="A96" s="17" t="s">
        <v>322</v>
      </c>
      <c r="B96" s="17" t="s">
        <v>34</v>
      </c>
      <c r="C96" s="18" t="s">
        <v>317</v>
      </c>
      <c r="D96" s="18" t="s">
        <v>323</v>
      </c>
      <c r="E96" s="17" t="s">
        <v>22</v>
      </c>
      <c r="F96" s="18" t="s">
        <v>319</v>
      </c>
      <c r="G96" s="17"/>
      <c r="H96" s="17" t="s">
        <v>3</v>
      </c>
    </row>
    <row r="97" spans="1:8" ht="30" customHeight="1" x14ac:dyDescent="0.3">
      <c r="A97" s="17" t="s">
        <v>324</v>
      </c>
      <c r="B97" s="17" t="s">
        <v>34</v>
      </c>
      <c r="C97" s="18" t="s">
        <v>325</v>
      </c>
      <c r="D97" s="18" t="s">
        <v>326</v>
      </c>
      <c r="E97" s="17" t="s">
        <v>21</v>
      </c>
      <c r="F97" s="18" t="s">
        <v>319</v>
      </c>
      <c r="G97" s="17"/>
      <c r="H97" s="17" t="s">
        <v>3</v>
      </c>
    </row>
    <row r="98" spans="1:8" ht="30" customHeight="1" x14ac:dyDescent="0.3">
      <c r="A98" s="17" t="s">
        <v>327</v>
      </c>
      <c r="B98" s="17" t="s">
        <v>34</v>
      </c>
      <c r="C98" s="18" t="s">
        <v>325</v>
      </c>
      <c r="D98" s="18" t="s">
        <v>328</v>
      </c>
      <c r="E98" s="17" t="s">
        <v>21</v>
      </c>
      <c r="F98" s="18" t="s">
        <v>319</v>
      </c>
      <c r="G98" s="17"/>
      <c r="H98" s="17" t="s">
        <v>3</v>
      </c>
    </row>
    <row r="99" spans="1:8" ht="30" customHeight="1" x14ac:dyDescent="0.3">
      <c r="A99" s="17" t="s">
        <v>329</v>
      </c>
      <c r="B99" s="17" t="s">
        <v>34</v>
      </c>
      <c r="C99" s="18" t="s">
        <v>325</v>
      </c>
      <c r="D99" s="18" t="s">
        <v>330</v>
      </c>
      <c r="E99" s="17" t="s">
        <v>22</v>
      </c>
      <c r="F99" s="18" t="s">
        <v>319</v>
      </c>
      <c r="G99" s="17"/>
      <c r="H99" s="17" t="s">
        <v>3</v>
      </c>
    </row>
    <row r="100" spans="1:8" ht="30" customHeight="1" x14ac:dyDescent="0.3">
      <c r="A100" s="17" t="s">
        <v>331</v>
      </c>
      <c r="B100" s="17" t="s">
        <v>34</v>
      </c>
      <c r="C100" s="18" t="s">
        <v>332</v>
      </c>
      <c r="D100" s="18" t="s">
        <v>333</v>
      </c>
      <c r="E100" s="17" t="s">
        <v>21</v>
      </c>
      <c r="F100" s="18" t="s">
        <v>319</v>
      </c>
      <c r="G100" s="17"/>
      <c r="H100" s="17" t="s">
        <v>4</v>
      </c>
    </row>
    <row r="101" spans="1:8" ht="30" customHeight="1" x14ac:dyDescent="0.3">
      <c r="A101" s="17" t="s">
        <v>334</v>
      </c>
      <c r="B101" s="17" t="s">
        <v>34</v>
      </c>
      <c r="C101" s="18" t="s">
        <v>332</v>
      </c>
      <c r="D101" s="18" t="s">
        <v>335</v>
      </c>
      <c r="E101" s="17" t="s">
        <v>21</v>
      </c>
      <c r="F101" s="18" t="s">
        <v>319</v>
      </c>
      <c r="G101" s="17"/>
      <c r="H101" s="17" t="s">
        <v>3</v>
      </c>
    </row>
    <row r="102" spans="1:8" ht="30" customHeight="1" x14ac:dyDescent="0.3">
      <c r="A102" s="17" t="s">
        <v>336</v>
      </c>
      <c r="B102" s="17" t="s">
        <v>34</v>
      </c>
      <c r="C102" s="18" t="s">
        <v>337</v>
      </c>
      <c r="D102" s="18" t="s">
        <v>338</v>
      </c>
      <c r="E102" s="17" t="s">
        <v>21</v>
      </c>
      <c r="F102" s="18" t="s">
        <v>319</v>
      </c>
      <c r="G102" s="17"/>
      <c r="H102" s="17" t="s">
        <v>3</v>
      </c>
    </row>
    <row r="103" spans="1:8" ht="30" customHeight="1" x14ac:dyDescent="0.3">
      <c r="A103" s="17" t="s">
        <v>339</v>
      </c>
      <c r="B103" s="17" t="s">
        <v>34</v>
      </c>
      <c r="C103" s="18" t="s">
        <v>337</v>
      </c>
      <c r="D103" s="18" t="s">
        <v>340</v>
      </c>
      <c r="E103" s="17" t="s">
        <v>22</v>
      </c>
      <c r="F103" s="18" t="s">
        <v>319</v>
      </c>
      <c r="G103" s="17"/>
      <c r="H103" s="17" t="s">
        <v>3</v>
      </c>
    </row>
    <row r="104" spans="1:8" ht="30" customHeight="1" x14ac:dyDescent="0.3">
      <c r="A104" s="17" t="s">
        <v>341</v>
      </c>
      <c r="B104" s="17" t="s">
        <v>34</v>
      </c>
      <c r="C104" s="18" t="s">
        <v>342</v>
      </c>
      <c r="D104" s="18" t="s">
        <v>343</v>
      </c>
      <c r="E104" s="17" t="s">
        <v>22</v>
      </c>
      <c r="F104" s="18" t="s">
        <v>319</v>
      </c>
      <c r="G104" s="17"/>
      <c r="H104" s="17" t="s">
        <v>3</v>
      </c>
    </row>
    <row r="105" spans="1:8" ht="30" customHeight="1" x14ac:dyDescent="0.3">
      <c r="A105" s="17" t="s">
        <v>344</v>
      </c>
      <c r="B105" s="17" t="s">
        <v>34</v>
      </c>
      <c r="C105" s="18" t="s">
        <v>342</v>
      </c>
      <c r="D105" s="18" t="s">
        <v>345</v>
      </c>
      <c r="E105" s="17" t="s">
        <v>22</v>
      </c>
      <c r="F105" s="18" t="s">
        <v>319</v>
      </c>
      <c r="G105" s="17"/>
      <c r="H105" s="17" t="s">
        <v>3</v>
      </c>
    </row>
    <row r="106" spans="1:8" ht="30" customHeight="1" x14ac:dyDescent="0.3">
      <c r="A106" s="17" t="s">
        <v>346</v>
      </c>
      <c r="B106" s="17" t="s">
        <v>34</v>
      </c>
      <c r="C106" s="18" t="s">
        <v>347</v>
      </c>
      <c r="D106" s="18" t="s">
        <v>348</v>
      </c>
      <c r="E106" s="17" t="s">
        <v>21</v>
      </c>
      <c r="F106" s="18" t="s">
        <v>319</v>
      </c>
      <c r="G106" s="17"/>
      <c r="H106" s="17" t="s">
        <v>3</v>
      </c>
    </row>
    <row r="107" spans="1:8" ht="30" customHeight="1" x14ac:dyDescent="0.3">
      <c r="A107" s="17" t="s">
        <v>349</v>
      </c>
      <c r="B107" s="17" t="s">
        <v>255</v>
      </c>
      <c r="C107" s="18" t="s">
        <v>350</v>
      </c>
      <c r="D107" s="18" t="s">
        <v>351</v>
      </c>
      <c r="E107" s="17" t="s">
        <v>22</v>
      </c>
      <c r="F107" s="18" t="s">
        <v>319</v>
      </c>
      <c r="G107" s="17"/>
      <c r="H107" s="17" t="s">
        <v>3</v>
      </c>
    </row>
    <row r="108" spans="1:8" ht="30" customHeight="1" x14ac:dyDescent="0.3">
      <c r="A108" s="17" t="s">
        <v>352</v>
      </c>
      <c r="B108" s="17" t="s">
        <v>255</v>
      </c>
      <c r="C108" s="18" t="s">
        <v>350</v>
      </c>
      <c r="D108" s="18" t="s">
        <v>353</v>
      </c>
      <c r="E108" s="17" t="s">
        <v>22</v>
      </c>
      <c r="F108" s="18" t="s">
        <v>319</v>
      </c>
      <c r="G108" s="17"/>
      <c r="H108" s="17" t="s">
        <v>3</v>
      </c>
    </row>
    <row r="109" spans="1:8" ht="30" customHeight="1" x14ac:dyDescent="0.3">
      <c r="A109" s="17" t="s">
        <v>354</v>
      </c>
      <c r="B109" s="17" t="s">
        <v>255</v>
      </c>
      <c r="C109" s="18" t="s">
        <v>350</v>
      </c>
      <c r="D109" s="18" t="s">
        <v>355</v>
      </c>
      <c r="E109" s="17" t="s">
        <v>22</v>
      </c>
      <c r="F109" s="18" t="s">
        <v>319</v>
      </c>
      <c r="G109" s="17"/>
      <c r="H109" s="17" t="s">
        <v>3</v>
      </c>
    </row>
    <row r="110" spans="1:8" ht="30" customHeight="1" x14ac:dyDescent="0.3">
      <c r="A110" s="17" t="s">
        <v>356</v>
      </c>
      <c r="B110" s="17" t="s">
        <v>255</v>
      </c>
      <c r="C110" s="18" t="s">
        <v>350</v>
      </c>
      <c r="D110" s="18" t="s">
        <v>357</v>
      </c>
      <c r="E110" s="17" t="s">
        <v>23</v>
      </c>
      <c r="F110" s="18" t="s">
        <v>319</v>
      </c>
      <c r="G110" s="17"/>
      <c r="H110" s="17" t="s">
        <v>3</v>
      </c>
    </row>
    <row r="111" spans="1:8" ht="30" customHeight="1" x14ac:dyDescent="0.3">
      <c r="A111" s="17" t="s">
        <v>358</v>
      </c>
      <c r="B111" s="17" t="s">
        <v>126</v>
      </c>
      <c r="C111" s="18" t="s">
        <v>359</v>
      </c>
      <c r="D111" s="18" t="s">
        <v>360</v>
      </c>
      <c r="E111" s="17" t="s">
        <v>21</v>
      </c>
      <c r="F111" s="18" t="s">
        <v>319</v>
      </c>
      <c r="G111" s="17"/>
      <c r="H111" s="17" t="s">
        <v>3</v>
      </c>
    </row>
    <row r="112" spans="1:8" ht="30" customHeight="1" x14ac:dyDescent="0.3">
      <c r="A112" s="17" t="s">
        <v>361</v>
      </c>
      <c r="B112" s="17" t="s">
        <v>126</v>
      </c>
      <c r="C112" s="18" t="s">
        <v>359</v>
      </c>
      <c r="D112" s="18" t="s">
        <v>362</v>
      </c>
      <c r="E112" s="17" t="s">
        <v>22</v>
      </c>
      <c r="F112" s="18" t="s">
        <v>319</v>
      </c>
      <c r="G112" s="17"/>
      <c r="H112" s="17" t="s">
        <v>3</v>
      </c>
    </row>
    <row r="113" spans="1:8" ht="30" customHeight="1" x14ac:dyDescent="0.3">
      <c r="A113" s="17" t="s">
        <v>363</v>
      </c>
      <c r="B113" s="17" t="s">
        <v>126</v>
      </c>
      <c r="C113" s="18" t="s">
        <v>359</v>
      </c>
      <c r="D113" s="18" t="s">
        <v>364</v>
      </c>
      <c r="E113" s="17" t="s">
        <v>22</v>
      </c>
      <c r="F113" s="18" t="s">
        <v>319</v>
      </c>
      <c r="G113" s="17"/>
      <c r="H113" s="17" t="s">
        <v>3</v>
      </c>
    </row>
    <row r="114" spans="1:8" ht="30" customHeight="1" x14ac:dyDescent="0.3">
      <c r="A114" s="17" t="s">
        <v>365</v>
      </c>
      <c r="B114" s="17" t="s">
        <v>126</v>
      </c>
      <c r="C114" s="18" t="s">
        <v>359</v>
      </c>
      <c r="D114" s="18" t="s">
        <v>366</v>
      </c>
      <c r="E114" s="17" t="s">
        <v>23</v>
      </c>
      <c r="F114" s="18" t="s">
        <v>319</v>
      </c>
      <c r="G114" s="17"/>
      <c r="H114" s="17" t="s">
        <v>3</v>
      </c>
    </row>
    <row r="115" spans="1:8" ht="30" customHeight="1" x14ac:dyDescent="0.3">
      <c r="A115" s="17" t="s">
        <v>367</v>
      </c>
      <c r="B115" s="17" t="s">
        <v>126</v>
      </c>
      <c r="C115" s="18" t="s">
        <v>359</v>
      </c>
      <c r="D115" s="18" t="s">
        <v>368</v>
      </c>
      <c r="E115" s="17" t="s">
        <v>21</v>
      </c>
      <c r="F115" s="18" t="s">
        <v>319</v>
      </c>
      <c r="G115" s="17"/>
      <c r="H115" s="17" t="s">
        <v>3</v>
      </c>
    </row>
    <row r="116" spans="1:8" ht="30" customHeight="1" x14ac:dyDescent="0.3">
      <c r="A116" s="17" t="s">
        <v>369</v>
      </c>
      <c r="B116" s="17" t="s">
        <v>126</v>
      </c>
      <c r="C116" s="18" t="s">
        <v>370</v>
      </c>
      <c r="D116" s="18" t="s">
        <v>371</v>
      </c>
      <c r="E116" s="17" t="s">
        <v>22</v>
      </c>
      <c r="F116" s="18" t="s">
        <v>319</v>
      </c>
      <c r="G116" s="17"/>
      <c r="H116" s="17" t="s">
        <v>3</v>
      </c>
    </row>
    <row r="117" spans="1:8" ht="30" customHeight="1" x14ac:dyDescent="0.3">
      <c r="A117" s="17" t="s">
        <v>372</v>
      </c>
      <c r="B117" s="17" t="s">
        <v>126</v>
      </c>
      <c r="C117" s="18" t="s">
        <v>370</v>
      </c>
      <c r="D117" s="18" t="s">
        <v>373</v>
      </c>
      <c r="E117" s="17" t="s">
        <v>23</v>
      </c>
      <c r="F117" s="18" t="s">
        <v>319</v>
      </c>
      <c r="G117" s="17"/>
      <c r="H117" s="17" t="s">
        <v>3</v>
      </c>
    </row>
    <row r="118" spans="1:8" ht="30" customHeight="1" x14ac:dyDescent="0.3">
      <c r="A118" s="17" t="s">
        <v>374</v>
      </c>
      <c r="B118" s="17" t="s">
        <v>175</v>
      </c>
      <c r="C118" s="18" t="s">
        <v>375</v>
      </c>
      <c r="D118" s="18" t="s">
        <v>376</v>
      </c>
      <c r="E118" s="17" t="s">
        <v>23</v>
      </c>
      <c r="F118" s="18" t="s">
        <v>319</v>
      </c>
      <c r="G118" s="17"/>
      <c r="H118" s="17" t="s">
        <v>3</v>
      </c>
    </row>
    <row r="119" spans="1:8" ht="30" customHeight="1" x14ac:dyDescent="0.3">
      <c r="A119" s="17" t="s">
        <v>377</v>
      </c>
      <c r="B119" s="17" t="s">
        <v>175</v>
      </c>
      <c r="C119" s="18" t="s">
        <v>378</v>
      </c>
      <c r="D119" s="18" t="s">
        <v>379</v>
      </c>
      <c r="E119" s="17" t="s">
        <v>22</v>
      </c>
      <c r="F119" s="18" t="s">
        <v>319</v>
      </c>
      <c r="G119" s="17"/>
      <c r="H119" s="17" t="s">
        <v>3</v>
      </c>
    </row>
    <row r="120" spans="1:8" ht="30" customHeight="1" x14ac:dyDescent="0.3">
      <c r="A120" s="17" t="s">
        <v>380</v>
      </c>
      <c r="B120" s="17" t="s">
        <v>175</v>
      </c>
      <c r="C120" s="18" t="s">
        <v>378</v>
      </c>
      <c r="D120" s="18" t="s">
        <v>381</v>
      </c>
      <c r="E120" s="17" t="s">
        <v>22</v>
      </c>
      <c r="F120" s="18" t="s">
        <v>319</v>
      </c>
      <c r="G120" s="17"/>
      <c r="H120" s="17" t="s">
        <v>3</v>
      </c>
    </row>
    <row r="121" spans="1:8" ht="30" customHeight="1" x14ac:dyDescent="0.3">
      <c r="A121" s="17" t="s">
        <v>382</v>
      </c>
      <c r="B121" s="17" t="s">
        <v>175</v>
      </c>
      <c r="C121" s="18" t="s">
        <v>383</v>
      </c>
      <c r="D121" s="18" t="s">
        <v>384</v>
      </c>
      <c r="E121" s="17" t="s">
        <v>22</v>
      </c>
      <c r="F121" s="18" t="s">
        <v>319</v>
      </c>
      <c r="G121" s="17"/>
      <c r="H121" s="17" t="s">
        <v>3</v>
      </c>
    </row>
    <row r="122" spans="1:8" ht="30" customHeight="1" x14ac:dyDescent="0.3">
      <c r="A122" s="17" t="s">
        <v>385</v>
      </c>
      <c r="B122" s="17" t="s">
        <v>175</v>
      </c>
      <c r="C122" s="18" t="s">
        <v>383</v>
      </c>
      <c r="D122" s="18" t="s">
        <v>386</v>
      </c>
      <c r="E122" s="17" t="s">
        <v>22</v>
      </c>
      <c r="F122" s="18" t="s">
        <v>319</v>
      </c>
      <c r="G122" s="17"/>
      <c r="H122" s="17" t="s">
        <v>3</v>
      </c>
    </row>
    <row r="123" spans="1:8" ht="30" customHeight="1" x14ac:dyDescent="0.3">
      <c r="A123" s="17" t="s">
        <v>387</v>
      </c>
      <c r="B123" s="17" t="s">
        <v>175</v>
      </c>
      <c r="C123" s="18" t="s">
        <v>388</v>
      </c>
      <c r="D123" s="18" t="s">
        <v>389</v>
      </c>
      <c r="E123" s="17" t="s">
        <v>23</v>
      </c>
      <c r="F123" s="18" t="s">
        <v>319</v>
      </c>
      <c r="G123" s="17"/>
      <c r="H123" s="17" t="s">
        <v>3</v>
      </c>
    </row>
    <row r="124" spans="1:8" ht="30" customHeight="1" x14ac:dyDescent="0.3">
      <c r="A124" s="17" t="s">
        <v>390</v>
      </c>
      <c r="B124" s="17" t="s">
        <v>175</v>
      </c>
      <c r="C124" s="18" t="s">
        <v>391</v>
      </c>
      <c r="D124" s="18" t="s">
        <v>392</v>
      </c>
      <c r="E124" s="17" t="s">
        <v>21</v>
      </c>
      <c r="F124" s="18" t="s">
        <v>319</v>
      </c>
      <c r="G124" s="17"/>
      <c r="H124" s="17" t="s">
        <v>3</v>
      </c>
    </row>
    <row r="125" spans="1:8" ht="30" customHeight="1" x14ac:dyDescent="0.3">
      <c r="A125" s="17" t="s">
        <v>393</v>
      </c>
      <c r="B125" s="17" t="s">
        <v>175</v>
      </c>
      <c r="C125" s="18" t="s">
        <v>391</v>
      </c>
      <c r="D125" s="18" t="s">
        <v>394</v>
      </c>
      <c r="E125" s="17" t="s">
        <v>21</v>
      </c>
      <c r="F125" s="18" t="s">
        <v>319</v>
      </c>
      <c r="G125" s="17"/>
      <c r="H125" s="17" t="s">
        <v>3</v>
      </c>
    </row>
    <row r="126" spans="1:8" ht="30" customHeight="1" x14ac:dyDescent="0.3">
      <c r="A126" s="17" t="s">
        <v>395</v>
      </c>
      <c r="B126" s="17" t="s">
        <v>175</v>
      </c>
      <c r="C126" s="18" t="s">
        <v>391</v>
      </c>
      <c r="D126" s="18" t="s">
        <v>396</v>
      </c>
      <c r="E126" s="17" t="s">
        <v>21</v>
      </c>
      <c r="F126" s="18" t="s">
        <v>319</v>
      </c>
      <c r="G126" s="17"/>
      <c r="H126" s="17" t="s">
        <v>3</v>
      </c>
    </row>
    <row r="127" spans="1:8" ht="30" customHeight="1" x14ac:dyDescent="0.3">
      <c r="A127" s="17" t="s">
        <v>397</v>
      </c>
      <c r="B127" s="17" t="s">
        <v>175</v>
      </c>
      <c r="C127" s="18" t="s">
        <v>398</v>
      </c>
      <c r="D127" s="18" t="s">
        <v>399</v>
      </c>
      <c r="E127" s="17" t="s">
        <v>21</v>
      </c>
      <c r="F127" s="18" t="s">
        <v>319</v>
      </c>
      <c r="G127" s="17"/>
      <c r="H127" s="17" t="s">
        <v>3</v>
      </c>
    </row>
    <row r="128" spans="1:8" ht="30" customHeight="1" x14ac:dyDescent="0.3">
      <c r="A128" s="17" t="s">
        <v>400</v>
      </c>
      <c r="B128" s="17" t="s">
        <v>175</v>
      </c>
      <c r="C128" s="18" t="s">
        <v>401</v>
      </c>
      <c r="D128" s="18" t="s">
        <v>402</v>
      </c>
      <c r="E128" s="17" t="s">
        <v>21</v>
      </c>
      <c r="F128" s="18" t="s">
        <v>319</v>
      </c>
      <c r="G128" s="17"/>
      <c r="H128" s="17" t="s">
        <v>3</v>
      </c>
    </row>
    <row r="129" spans="1:8" ht="30" customHeight="1" x14ac:dyDescent="0.3">
      <c r="A129" s="17" t="s">
        <v>403</v>
      </c>
      <c r="B129" s="17" t="s">
        <v>175</v>
      </c>
      <c r="C129" s="18" t="s">
        <v>401</v>
      </c>
      <c r="D129" s="18" t="s">
        <v>404</v>
      </c>
      <c r="E129" s="17" t="s">
        <v>23</v>
      </c>
      <c r="F129" s="18" t="s">
        <v>319</v>
      </c>
      <c r="G129" s="17"/>
      <c r="H129" s="17" t="s">
        <v>3</v>
      </c>
    </row>
    <row r="130" spans="1:8" ht="30" customHeight="1" x14ac:dyDescent="0.3">
      <c r="A130" s="17" t="s">
        <v>405</v>
      </c>
      <c r="B130" s="17" t="s">
        <v>175</v>
      </c>
      <c r="C130" s="18" t="s">
        <v>406</v>
      </c>
      <c r="D130" s="18" t="s">
        <v>407</v>
      </c>
      <c r="E130" s="17" t="s">
        <v>21</v>
      </c>
      <c r="F130" s="18" t="s">
        <v>319</v>
      </c>
      <c r="G130" s="17"/>
      <c r="H130" s="17" t="s">
        <v>3</v>
      </c>
    </row>
    <row r="131" spans="1:8" ht="30" customHeight="1" x14ac:dyDescent="0.3">
      <c r="A131" s="17" t="s">
        <v>408</v>
      </c>
      <c r="B131" s="17" t="s">
        <v>175</v>
      </c>
      <c r="C131" s="18" t="s">
        <v>406</v>
      </c>
      <c r="D131" s="18" t="s">
        <v>409</v>
      </c>
      <c r="E131" s="17" t="s">
        <v>21</v>
      </c>
      <c r="F131" s="18" t="s">
        <v>319</v>
      </c>
      <c r="G131" s="17"/>
      <c r="H131" s="17" t="s">
        <v>3</v>
      </c>
    </row>
    <row r="132" spans="1:8" ht="30" customHeight="1" x14ac:dyDescent="0.3">
      <c r="A132" s="17" t="s">
        <v>410</v>
      </c>
      <c r="B132" s="17" t="s">
        <v>175</v>
      </c>
      <c r="C132" s="18" t="s">
        <v>411</v>
      </c>
      <c r="D132" s="18" t="s">
        <v>412</v>
      </c>
      <c r="E132" s="17" t="s">
        <v>23</v>
      </c>
      <c r="F132" s="18" t="s">
        <v>319</v>
      </c>
      <c r="G132" s="17"/>
      <c r="H132" s="17" t="s">
        <v>3</v>
      </c>
    </row>
    <row r="133" spans="1:8" ht="30" customHeight="1" x14ac:dyDescent="0.3">
      <c r="A133" s="17" t="s">
        <v>413</v>
      </c>
      <c r="B133" s="17" t="s">
        <v>218</v>
      </c>
      <c r="C133" s="18" t="s">
        <v>414</v>
      </c>
      <c r="D133" s="18" t="s">
        <v>415</v>
      </c>
      <c r="E133" s="17" t="s">
        <v>22</v>
      </c>
      <c r="F133" s="18" t="s">
        <v>319</v>
      </c>
      <c r="G133" s="17"/>
      <c r="H133" s="17" t="s">
        <v>3</v>
      </c>
    </row>
    <row r="134" spans="1:8" ht="30" customHeight="1" x14ac:dyDescent="0.3">
      <c r="A134" s="17" t="s">
        <v>416</v>
      </c>
      <c r="B134" s="17" t="s">
        <v>218</v>
      </c>
      <c r="C134" s="18" t="s">
        <v>414</v>
      </c>
      <c r="D134" s="18" t="s">
        <v>417</v>
      </c>
      <c r="E134" s="17" t="s">
        <v>22</v>
      </c>
      <c r="F134" s="18" t="s">
        <v>319</v>
      </c>
      <c r="G134" s="17"/>
      <c r="H134" s="17" t="s">
        <v>3</v>
      </c>
    </row>
    <row r="135" spans="1:8" ht="30" customHeight="1" x14ac:dyDescent="0.3">
      <c r="A135" s="17" t="s">
        <v>418</v>
      </c>
      <c r="B135" s="17" t="s">
        <v>218</v>
      </c>
      <c r="C135" s="18" t="s">
        <v>414</v>
      </c>
      <c r="D135" s="18" t="s">
        <v>419</v>
      </c>
      <c r="E135" s="17" t="s">
        <v>22</v>
      </c>
      <c r="F135" s="18" t="s">
        <v>319</v>
      </c>
      <c r="G135" s="17"/>
      <c r="H135" s="17" t="s">
        <v>3</v>
      </c>
    </row>
    <row r="136" spans="1:8" ht="30" customHeight="1" x14ac:dyDescent="0.3">
      <c r="A136" s="17" t="s">
        <v>420</v>
      </c>
      <c r="B136" s="17" t="s">
        <v>218</v>
      </c>
      <c r="C136" s="18" t="s">
        <v>414</v>
      </c>
      <c r="D136" s="18" t="s">
        <v>421</v>
      </c>
      <c r="E136" s="17" t="s">
        <v>22</v>
      </c>
      <c r="F136" s="18" t="s">
        <v>319</v>
      </c>
      <c r="G136" s="17"/>
      <c r="H136" s="17" t="s">
        <v>3</v>
      </c>
    </row>
    <row r="137" spans="1:8" ht="30" customHeight="1" x14ac:dyDescent="0.3">
      <c r="A137" s="17" t="s">
        <v>422</v>
      </c>
      <c r="B137" s="17" t="s">
        <v>218</v>
      </c>
      <c r="C137" s="18" t="s">
        <v>414</v>
      </c>
      <c r="D137" s="18" t="s">
        <v>423</v>
      </c>
      <c r="E137" s="17" t="s">
        <v>22</v>
      </c>
      <c r="F137" s="18" t="s">
        <v>319</v>
      </c>
      <c r="G137" s="17"/>
      <c r="H137" s="17" t="s">
        <v>3</v>
      </c>
    </row>
    <row r="138" spans="1:8" ht="30" customHeight="1" x14ac:dyDescent="0.3">
      <c r="A138" s="17" t="s">
        <v>424</v>
      </c>
      <c r="B138" s="17" t="s">
        <v>218</v>
      </c>
      <c r="C138" s="18" t="s">
        <v>414</v>
      </c>
      <c r="D138" s="18" t="s">
        <v>425</v>
      </c>
      <c r="E138" s="17" t="s">
        <v>22</v>
      </c>
      <c r="F138" s="18" t="s">
        <v>319</v>
      </c>
      <c r="G138" s="17"/>
      <c r="H138" s="17" t="s">
        <v>3</v>
      </c>
    </row>
    <row r="139" spans="1:8" ht="30" customHeight="1" x14ac:dyDescent="0.3">
      <c r="A139" s="17" t="s">
        <v>426</v>
      </c>
      <c r="B139" s="17" t="s">
        <v>218</v>
      </c>
      <c r="C139" s="18" t="s">
        <v>414</v>
      </c>
      <c r="D139" s="18" t="s">
        <v>427</v>
      </c>
      <c r="E139" s="17" t="s">
        <v>22</v>
      </c>
      <c r="F139" s="18" t="s">
        <v>319</v>
      </c>
      <c r="G139" s="17"/>
      <c r="H139" s="17" t="s">
        <v>3</v>
      </c>
    </row>
    <row r="140" spans="1:8" ht="30" customHeight="1" x14ac:dyDescent="0.3">
      <c r="A140" s="17" t="s">
        <v>428</v>
      </c>
      <c r="B140" s="17" t="s">
        <v>218</v>
      </c>
      <c r="C140" s="18" t="s">
        <v>429</v>
      </c>
      <c r="D140" s="18" t="s">
        <v>430</v>
      </c>
      <c r="E140" s="17" t="s">
        <v>21</v>
      </c>
      <c r="F140" s="18" t="s">
        <v>319</v>
      </c>
      <c r="G140" s="17"/>
      <c r="H140" s="17" t="s">
        <v>3</v>
      </c>
    </row>
    <row r="141" spans="1:8" ht="30" customHeight="1" x14ac:dyDescent="0.3">
      <c r="A141" s="17" t="s">
        <v>431</v>
      </c>
      <c r="B141" s="17" t="s">
        <v>218</v>
      </c>
      <c r="C141" s="18" t="s">
        <v>429</v>
      </c>
      <c r="D141" s="18" t="s">
        <v>432</v>
      </c>
      <c r="E141" s="17" t="s">
        <v>22</v>
      </c>
      <c r="F141" s="18" t="s">
        <v>319</v>
      </c>
      <c r="G141" s="17"/>
      <c r="H141" s="17" t="s">
        <v>3</v>
      </c>
    </row>
    <row r="142" spans="1:8" ht="30" customHeight="1" x14ac:dyDescent="0.3">
      <c r="A142" s="17" t="s">
        <v>433</v>
      </c>
      <c r="B142" s="17" t="s">
        <v>274</v>
      </c>
      <c r="C142" s="18" t="s">
        <v>434</v>
      </c>
      <c r="D142" s="18" t="s">
        <v>435</v>
      </c>
      <c r="E142" s="17" t="s">
        <v>21</v>
      </c>
      <c r="F142" s="18" t="s">
        <v>319</v>
      </c>
      <c r="G142" s="17"/>
      <c r="H142" s="17" t="s">
        <v>3</v>
      </c>
    </row>
    <row r="143" spans="1:8" ht="30" customHeight="1" x14ac:dyDescent="0.3">
      <c r="A143" s="17" t="s">
        <v>436</v>
      </c>
      <c r="B143" s="17" t="s">
        <v>274</v>
      </c>
      <c r="C143" s="18" t="s">
        <v>434</v>
      </c>
      <c r="D143" s="18" t="s">
        <v>437</v>
      </c>
      <c r="E143" s="17" t="s">
        <v>22</v>
      </c>
      <c r="F143" s="18" t="s">
        <v>319</v>
      </c>
      <c r="G143" s="17"/>
      <c r="H143" s="17" t="s">
        <v>3</v>
      </c>
    </row>
    <row r="144" spans="1:8" ht="30" customHeight="1" x14ac:dyDescent="0.3">
      <c r="A144" s="17" t="s">
        <v>438</v>
      </c>
      <c r="B144" s="17" t="s">
        <v>274</v>
      </c>
      <c r="C144" s="18" t="s">
        <v>434</v>
      </c>
      <c r="D144" s="18" t="s">
        <v>439</v>
      </c>
      <c r="E144" s="17" t="s">
        <v>22</v>
      </c>
      <c r="F144" s="18" t="s">
        <v>319</v>
      </c>
      <c r="G144" s="17"/>
      <c r="H144" s="17" t="s">
        <v>3</v>
      </c>
    </row>
    <row r="145" spans="1:8" ht="30" customHeight="1" x14ac:dyDescent="0.3">
      <c r="A145" s="17" t="s">
        <v>440</v>
      </c>
      <c r="B145" s="17" t="s">
        <v>274</v>
      </c>
      <c r="C145" s="18" t="s">
        <v>434</v>
      </c>
      <c r="D145" s="18" t="s">
        <v>441</v>
      </c>
      <c r="E145" s="17" t="s">
        <v>22</v>
      </c>
      <c r="F145" s="18" t="s">
        <v>319</v>
      </c>
      <c r="G145" s="17"/>
      <c r="H145" s="17" t="s">
        <v>3</v>
      </c>
    </row>
    <row r="146" spans="1:8" ht="30" customHeight="1" x14ac:dyDescent="0.3">
      <c r="A146" s="17" t="s">
        <v>442</v>
      </c>
      <c r="B146" s="17" t="s">
        <v>83</v>
      </c>
      <c r="C146" s="18" t="s">
        <v>443</v>
      </c>
      <c r="D146" s="18" t="s">
        <v>444</v>
      </c>
      <c r="E146" s="17" t="s">
        <v>23</v>
      </c>
      <c r="F146" s="18" t="s">
        <v>319</v>
      </c>
      <c r="G146" s="17"/>
      <c r="H146" s="17" t="s">
        <v>3</v>
      </c>
    </row>
    <row r="147" spans="1:8" ht="30" customHeight="1" x14ac:dyDescent="0.3">
      <c r="A147" s="17" t="s">
        <v>445</v>
      </c>
      <c r="B147" s="17" t="s">
        <v>446</v>
      </c>
      <c r="C147" s="18" t="s">
        <v>447</v>
      </c>
      <c r="D147" s="18" t="s">
        <v>448</v>
      </c>
      <c r="E147" s="17" t="s">
        <v>21</v>
      </c>
      <c r="F147" s="18" t="s">
        <v>449</v>
      </c>
      <c r="G147" s="17"/>
      <c r="H147" s="17" t="s">
        <v>4</v>
      </c>
    </row>
    <row r="148" spans="1:8" ht="30" customHeight="1" x14ac:dyDescent="0.3">
      <c r="A148" s="17" t="s">
        <v>450</v>
      </c>
      <c r="B148" s="17" t="s">
        <v>446</v>
      </c>
      <c r="C148" s="18" t="s">
        <v>447</v>
      </c>
      <c r="D148" s="18" t="s">
        <v>451</v>
      </c>
      <c r="E148" s="17" t="s">
        <v>21</v>
      </c>
      <c r="F148" s="18" t="s">
        <v>449</v>
      </c>
      <c r="G148" s="17"/>
      <c r="H148" s="17" t="s">
        <v>4</v>
      </c>
    </row>
    <row r="149" spans="1:8" ht="30" customHeight="1" x14ac:dyDescent="0.3">
      <c r="A149" s="17" t="s">
        <v>452</v>
      </c>
      <c r="B149" s="17" t="s">
        <v>446</v>
      </c>
      <c r="C149" s="18" t="s">
        <v>447</v>
      </c>
      <c r="D149" s="18" t="s">
        <v>453</v>
      </c>
      <c r="E149" s="17" t="s">
        <v>21</v>
      </c>
      <c r="F149" s="18" t="s">
        <v>449</v>
      </c>
      <c r="G149" s="17"/>
      <c r="H149" s="17" t="s">
        <v>4</v>
      </c>
    </row>
    <row r="150" spans="1:8" ht="30" customHeight="1" x14ac:dyDescent="0.3">
      <c r="A150" s="17" t="s">
        <v>454</v>
      </c>
      <c r="B150" s="17" t="s">
        <v>446</v>
      </c>
      <c r="C150" s="18" t="s">
        <v>447</v>
      </c>
      <c r="D150" s="18" t="s">
        <v>455</v>
      </c>
      <c r="E150" s="17" t="s">
        <v>21</v>
      </c>
      <c r="F150" s="18" t="s">
        <v>449</v>
      </c>
      <c r="G150" s="17"/>
      <c r="H150" s="17" t="s">
        <v>4</v>
      </c>
    </row>
    <row r="151" spans="1:8" ht="30" customHeight="1" x14ac:dyDescent="0.3">
      <c r="A151" s="17" t="s">
        <v>456</v>
      </c>
      <c r="B151" s="17" t="s">
        <v>446</v>
      </c>
      <c r="C151" s="18" t="s">
        <v>447</v>
      </c>
      <c r="D151" s="18" t="s">
        <v>457</v>
      </c>
      <c r="E151" s="17" t="s">
        <v>22</v>
      </c>
      <c r="F151" s="18" t="s">
        <v>449</v>
      </c>
      <c r="G151" s="17"/>
      <c r="H151" s="17" t="s">
        <v>4</v>
      </c>
    </row>
    <row r="152" spans="1:8" ht="30" customHeight="1" x14ac:dyDescent="0.3">
      <c r="A152" s="17" t="s">
        <v>458</v>
      </c>
      <c r="B152" s="17" t="s">
        <v>446</v>
      </c>
      <c r="C152" s="18" t="s">
        <v>447</v>
      </c>
      <c r="D152" s="18" t="s">
        <v>459</v>
      </c>
      <c r="E152" s="17" t="s">
        <v>22</v>
      </c>
      <c r="F152" s="18" t="s">
        <v>449</v>
      </c>
      <c r="G152" s="17"/>
      <c r="H152" s="17" t="s">
        <v>4</v>
      </c>
    </row>
    <row r="153" spans="1:8" ht="30" customHeight="1" x14ac:dyDescent="0.3">
      <c r="A153" s="17" t="s">
        <v>460</v>
      </c>
      <c r="B153" s="17" t="s">
        <v>446</v>
      </c>
      <c r="C153" s="18" t="s">
        <v>447</v>
      </c>
      <c r="D153" s="18" t="s">
        <v>461</v>
      </c>
      <c r="E153" s="17" t="s">
        <v>23</v>
      </c>
      <c r="F153" s="18" t="s">
        <v>449</v>
      </c>
      <c r="G153" s="17"/>
      <c r="H153" s="17" t="s">
        <v>4</v>
      </c>
    </row>
    <row r="154" spans="1:8" ht="30" customHeight="1" x14ac:dyDescent="0.3">
      <c r="A154" s="17" t="s">
        <v>462</v>
      </c>
      <c r="B154" s="17" t="s">
        <v>446</v>
      </c>
      <c r="C154" s="18" t="s">
        <v>447</v>
      </c>
      <c r="D154" s="18" t="s">
        <v>463</v>
      </c>
      <c r="E154" s="17" t="s">
        <v>21</v>
      </c>
      <c r="F154" s="18" t="s">
        <v>449</v>
      </c>
      <c r="G154" s="17"/>
      <c r="H154" s="17" t="s">
        <v>4</v>
      </c>
    </row>
    <row r="155" spans="1:8" ht="30" customHeight="1" x14ac:dyDescent="0.3">
      <c r="A155" s="17" t="s">
        <v>464</v>
      </c>
      <c r="B155" s="17" t="s">
        <v>446</v>
      </c>
      <c r="C155" s="18" t="s">
        <v>447</v>
      </c>
      <c r="D155" s="18" t="s">
        <v>465</v>
      </c>
      <c r="E155" s="17" t="s">
        <v>22</v>
      </c>
      <c r="F155" s="18" t="s">
        <v>449</v>
      </c>
      <c r="G155" s="17"/>
      <c r="H155" s="17" t="s">
        <v>3</v>
      </c>
    </row>
    <row r="156" spans="1:8" ht="30" customHeight="1" x14ac:dyDescent="0.3">
      <c r="A156" s="17" t="s">
        <v>466</v>
      </c>
      <c r="B156" s="17" t="s">
        <v>446</v>
      </c>
      <c r="C156" s="18" t="s">
        <v>447</v>
      </c>
      <c r="D156" s="18" t="s">
        <v>467</v>
      </c>
      <c r="E156" s="17" t="s">
        <v>21</v>
      </c>
      <c r="F156" s="18" t="s">
        <v>449</v>
      </c>
      <c r="G156" s="17"/>
      <c r="H156" s="17" t="s">
        <v>3</v>
      </c>
    </row>
  </sheetData>
  <conditionalFormatting sqref="E2:E156">
    <cfRule type="cellIs" dxfId="79" priority="2" operator="equal">
      <formula>"🟥 Critical"</formula>
    </cfRule>
    <cfRule type="cellIs" dxfId="78" priority="3" operator="equal">
      <formula>"🟧 High"</formula>
    </cfRule>
    <cfRule type="cellIs" dxfId="77" priority="4" operator="equal">
      <formula>"🟨 Medium"</formula>
    </cfRule>
    <cfRule type="cellIs" dxfId="76" priority="5" operator="equal">
      <formula>"🟩 Low"</formula>
    </cfRule>
  </conditionalFormatting>
  <conditionalFormatting sqref="H2:H156">
    <cfRule type="cellIs" dxfId="75" priority="6" operator="equal">
      <formula>"⬜ Not Started"</formula>
    </cfRule>
    <cfRule type="cellIs" dxfId="74" priority="7" operator="equal">
      <formula>"🟦 In Progress"</formula>
    </cfRule>
    <cfRule type="cellIs" dxfId="73" priority="8" operator="equal">
      <formula>"🟨 Testing"</formula>
    </cfRule>
    <cfRule type="cellIs" dxfId="72" priority="9" operator="equal">
      <formula>"🟪 Review"</formula>
    </cfRule>
    <cfRule type="cellIs" dxfId="71" priority="10" operator="equal">
      <formula>"🟩 Complete"</formula>
    </cfRule>
    <cfRule type="cellIs" dxfId="70" priority="11" operator="equal">
      <formula>"🔴 Blocked"</formula>
    </cfRule>
  </conditionalFormatting>
  <dataValidations count="2">
    <dataValidation type="list" sqref="E2:E156" xr:uid="{00000000-0002-0000-0100-000000000000}">
      <formula1>"🟥 Critical,🟧 High,🟨 Medium,🟩 Low"</formula1>
      <formula2>0</formula2>
    </dataValidation>
    <dataValidation type="list" sqref="H2:H156" xr:uid="{00000000-0002-0000-0100-000001000000}">
      <formula1>"⬜ Not Started,🟦 In Progress,🟨 Testing,🟪 Review,🟩 Complete,🔴 Blocked"</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8"/>
  <sheetViews>
    <sheetView zoomScaleNormal="100" workbookViewId="0">
      <pane ySplit="1" topLeftCell="A7" activePane="bottomLeft" state="frozen"/>
      <selection pane="bottomLeft" activeCell="H76" sqref="H76"/>
    </sheetView>
  </sheetViews>
  <sheetFormatPr defaultColWidth="8.6640625" defaultRowHeight="14.4" x14ac:dyDescent="0.3"/>
  <cols>
    <col min="1" max="1" width="10" customWidth="1"/>
    <col min="2" max="2" width="22" customWidth="1"/>
    <col min="3" max="3" width="24" customWidth="1"/>
    <col min="4" max="4" width="52" customWidth="1"/>
    <col min="5" max="5" width="14" customWidth="1"/>
    <col min="6" max="6" width="20" customWidth="1"/>
    <col min="7" max="7" width="14" customWidth="1"/>
    <col min="8" max="8" width="16" customWidth="1"/>
  </cols>
  <sheetData>
    <row r="1" spans="1:8" ht="30" customHeight="1" x14ac:dyDescent="0.3">
      <c r="A1" s="3" t="s">
        <v>25</v>
      </c>
      <c r="B1" s="3" t="s">
        <v>26</v>
      </c>
      <c r="C1" s="3" t="s">
        <v>27</v>
      </c>
      <c r="D1" s="3" t="s">
        <v>28</v>
      </c>
      <c r="E1" s="3" t="s">
        <v>29</v>
      </c>
      <c r="F1" s="3" t="s">
        <v>30</v>
      </c>
      <c r="G1" s="3" t="s">
        <v>31</v>
      </c>
      <c r="H1" s="3" t="s">
        <v>32</v>
      </c>
    </row>
    <row r="2" spans="1:8" ht="30" customHeight="1" x14ac:dyDescent="0.3">
      <c r="A2" s="17" t="s">
        <v>468</v>
      </c>
      <c r="B2" s="17" t="s">
        <v>469</v>
      </c>
      <c r="C2" s="18" t="s">
        <v>470</v>
      </c>
      <c r="D2" s="18" t="s">
        <v>471</v>
      </c>
      <c r="E2" s="17" t="s">
        <v>22</v>
      </c>
      <c r="F2" s="18" t="s">
        <v>472</v>
      </c>
      <c r="G2" s="17"/>
      <c r="H2" s="17" t="s">
        <v>7</v>
      </c>
    </row>
    <row r="3" spans="1:8" ht="30" customHeight="1" x14ac:dyDescent="0.3">
      <c r="A3" s="17" t="s">
        <v>473</v>
      </c>
      <c r="B3" s="17" t="s">
        <v>469</v>
      </c>
      <c r="C3" s="18" t="s">
        <v>470</v>
      </c>
      <c r="D3" s="18" t="s">
        <v>474</v>
      </c>
      <c r="E3" s="17" t="s">
        <v>22</v>
      </c>
      <c r="F3" s="18" t="s">
        <v>472</v>
      </c>
      <c r="G3" s="17"/>
      <c r="H3" s="17" t="s">
        <v>7</v>
      </c>
    </row>
    <row r="4" spans="1:8" ht="30" customHeight="1" x14ac:dyDescent="0.3">
      <c r="A4" s="17" t="s">
        <v>475</v>
      </c>
      <c r="B4" s="17" t="s">
        <v>469</v>
      </c>
      <c r="C4" s="18" t="s">
        <v>470</v>
      </c>
      <c r="D4" s="18" t="s">
        <v>476</v>
      </c>
      <c r="E4" s="17" t="s">
        <v>22</v>
      </c>
      <c r="F4" s="18" t="s">
        <v>472</v>
      </c>
      <c r="G4" s="17"/>
      <c r="H4" s="17" t="s">
        <v>7</v>
      </c>
    </row>
    <row r="5" spans="1:8" ht="30" customHeight="1" x14ac:dyDescent="0.3">
      <c r="A5" s="17" t="s">
        <v>477</v>
      </c>
      <c r="B5" s="17" t="s">
        <v>469</v>
      </c>
      <c r="C5" s="18" t="s">
        <v>470</v>
      </c>
      <c r="D5" s="18" t="s">
        <v>478</v>
      </c>
      <c r="E5" s="17" t="s">
        <v>22</v>
      </c>
      <c r="F5" s="18" t="s">
        <v>472</v>
      </c>
      <c r="G5" s="17"/>
      <c r="H5" s="17" t="s">
        <v>3</v>
      </c>
    </row>
    <row r="6" spans="1:8" ht="30" customHeight="1" x14ac:dyDescent="0.3">
      <c r="A6" s="17" t="s">
        <v>479</v>
      </c>
      <c r="B6" s="17" t="s">
        <v>480</v>
      </c>
      <c r="C6" s="18" t="s">
        <v>470</v>
      </c>
      <c r="D6" s="18" t="s">
        <v>481</v>
      </c>
      <c r="E6" s="17" t="s">
        <v>22</v>
      </c>
      <c r="F6" s="18" t="s">
        <v>472</v>
      </c>
      <c r="G6" s="17"/>
      <c r="H6" s="17" t="s">
        <v>4</v>
      </c>
    </row>
    <row r="7" spans="1:8" ht="30" customHeight="1" x14ac:dyDescent="0.3">
      <c r="A7" s="17" t="s">
        <v>482</v>
      </c>
      <c r="B7" s="17" t="s">
        <v>480</v>
      </c>
      <c r="C7" s="18" t="s">
        <v>470</v>
      </c>
      <c r="D7" s="18" t="s">
        <v>483</v>
      </c>
      <c r="E7" s="17" t="s">
        <v>22</v>
      </c>
      <c r="F7" s="18" t="s">
        <v>472</v>
      </c>
      <c r="G7" s="17"/>
      <c r="H7" s="17" t="s">
        <v>3</v>
      </c>
    </row>
    <row r="8" spans="1:8" ht="30" customHeight="1" x14ac:dyDescent="0.3">
      <c r="A8" s="17" t="s">
        <v>484</v>
      </c>
      <c r="B8" s="17" t="s">
        <v>480</v>
      </c>
      <c r="C8" s="18" t="s">
        <v>470</v>
      </c>
      <c r="D8" s="18" t="s">
        <v>485</v>
      </c>
      <c r="E8" s="17" t="s">
        <v>22</v>
      </c>
      <c r="F8" s="18" t="s">
        <v>472</v>
      </c>
      <c r="G8" s="17"/>
      <c r="H8" s="17" t="s">
        <v>3</v>
      </c>
    </row>
    <row r="9" spans="1:8" ht="30" customHeight="1" x14ac:dyDescent="0.3">
      <c r="A9" s="17" t="s">
        <v>486</v>
      </c>
      <c r="B9" s="17" t="s">
        <v>480</v>
      </c>
      <c r="C9" s="18" t="s">
        <v>470</v>
      </c>
      <c r="D9" s="18" t="s">
        <v>487</v>
      </c>
      <c r="E9" s="17" t="s">
        <v>24</v>
      </c>
      <c r="F9" s="18" t="s">
        <v>472</v>
      </c>
      <c r="G9" s="17"/>
      <c r="H9" s="17" t="s">
        <v>3</v>
      </c>
    </row>
    <row r="10" spans="1:8" ht="30" customHeight="1" x14ac:dyDescent="0.3">
      <c r="A10" s="17" t="s">
        <v>488</v>
      </c>
      <c r="B10" s="17" t="s">
        <v>480</v>
      </c>
      <c r="C10" s="18" t="s">
        <v>470</v>
      </c>
      <c r="D10" s="18" t="s">
        <v>489</v>
      </c>
      <c r="E10" s="17" t="s">
        <v>22</v>
      </c>
      <c r="F10" s="18" t="s">
        <v>472</v>
      </c>
      <c r="G10" s="17"/>
      <c r="H10" s="17" t="s">
        <v>3</v>
      </c>
    </row>
    <row r="11" spans="1:8" ht="30" customHeight="1" x14ac:dyDescent="0.3">
      <c r="A11" s="17" t="s">
        <v>490</v>
      </c>
      <c r="B11" s="17" t="s">
        <v>480</v>
      </c>
      <c r="C11" s="18" t="s">
        <v>470</v>
      </c>
      <c r="D11" s="18" t="s">
        <v>491</v>
      </c>
      <c r="E11" s="17" t="s">
        <v>23</v>
      </c>
      <c r="F11" s="18" t="s">
        <v>488</v>
      </c>
      <c r="G11" s="17"/>
      <c r="H11" s="17" t="s">
        <v>3</v>
      </c>
    </row>
    <row r="12" spans="1:8" ht="30" customHeight="1" x14ac:dyDescent="0.3">
      <c r="A12" s="17" t="s">
        <v>492</v>
      </c>
      <c r="B12" s="17" t="s">
        <v>480</v>
      </c>
      <c r="C12" s="18" t="s">
        <v>470</v>
      </c>
      <c r="D12" s="18" t="s">
        <v>493</v>
      </c>
      <c r="E12" s="17" t="s">
        <v>23</v>
      </c>
      <c r="F12" s="18" t="s">
        <v>488</v>
      </c>
      <c r="G12" s="17"/>
      <c r="H12" s="17" t="s">
        <v>3</v>
      </c>
    </row>
    <row r="13" spans="1:8" ht="30" customHeight="1" x14ac:dyDescent="0.3">
      <c r="A13" s="17" t="s">
        <v>494</v>
      </c>
      <c r="B13" s="17" t="s">
        <v>480</v>
      </c>
      <c r="C13" s="18" t="s">
        <v>470</v>
      </c>
      <c r="D13" s="18" t="s">
        <v>495</v>
      </c>
      <c r="E13" s="17" t="s">
        <v>22</v>
      </c>
      <c r="F13" s="18" t="s">
        <v>472</v>
      </c>
      <c r="G13" s="17"/>
      <c r="H13" s="17" t="s">
        <v>3</v>
      </c>
    </row>
    <row r="14" spans="1:8" ht="30" customHeight="1" x14ac:dyDescent="0.3">
      <c r="A14" s="17" t="s">
        <v>496</v>
      </c>
      <c r="B14" s="17" t="s">
        <v>480</v>
      </c>
      <c r="C14" s="18" t="s">
        <v>470</v>
      </c>
      <c r="D14" s="18" t="s">
        <v>497</v>
      </c>
      <c r="E14" s="17" t="s">
        <v>24</v>
      </c>
      <c r="F14" s="18" t="s">
        <v>472</v>
      </c>
      <c r="G14" s="17"/>
      <c r="H14" s="17" t="s">
        <v>3</v>
      </c>
    </row>
    <row r="15" spans="1:8" ht="30" customHeight="1" x14ac:dyDescent="0.3">
      <c r="A15" s="17" t="s">
        <v>498</v>
      </c>
      <c r="B15" s="17" t="s">
        <v>480</v>
      </c>
      <c r="C15" s="18" t="s">
        <v>470</v>
      </c>
      <c r="D15" s="18" t="s">
        <v>499</v>
      </c>
      <c r="E15" s="17" t="s">
        <v>22</v>
      </c>
      <c r="F15" s="18" t="s">
        <v>472</v>
      </c>
      <c r="G15" s="17"/>
      <c r="H15" s="17" t="s">
        <v>3</v>
      </c>
    </row>
    <row r="16" spans="1:8" ht="30" customHeight="1" x14ac:dyDescent="0.3">
      <c r="A16" s="17" t="s">
        <v>500</v>
      </c>
      <c r="B16" s="17" t="s">
        <v>480</v>
      </c>
      <c r="C16" s="18" t="s">
        <v>470</v>
      </c>
      <c r="D16" s="18" t="s">
        <v>501</v>
      </c>
      <c r="E16" s="17" t="s">
        <v>23</v>
      </c>
      <c r="F16" s="18" t="s">
        <v>498</v>
      </c>
      <c r="G16" s="17"/>
      <c r="H16" s="17" t="s">
        <v>3</v>
      </c>
    </row>
    <row r="17" spans="1:8" ht="30" customHeight="1" x14ac:dyDescent="0.3">
      <c r="A17" s="17" t="s">
        <v>502</v>
      </c>
      <c r="B17" s="17" t="s">
        <v>480</v>
      </c>
      <c r="C17" s="18" t="s">
        <v>470</v>
      </c>
      <c r="D17" s="18" t="s">
        <v>503</v>
      </c>
      <c r="E17" s="17" t="s">
        <v>23</v>
      </c>
      <c r="F17" s="18" t="s">
        <v>498</v>
      </c>
      <c r="G17" s="17"/>
      <c r="H17" s="17" t="s">
        <v>3</v>
      </c>
    </row>
    <row r="18" spans="1:8" ht="30" customHeight="1" x14ac:dyDescent="0.3">
      <c r="A18" s="17" t="s">
        <v>504</v>
      </c>
      <c r="B18" s="17" t="s">
        <v>480</v>
      </c>
      <c r="C18" s="18" t="s">
        <v>470</v>
      </c>
      <c r="D18" s="18" t="s">
        <v>505</v>
      </c>
      <c r="E18" s="17" t="s">
        <v>22</v>
      </c>
      <c r="F18" s="18" t="s">
        <v>472</v>
      </c>
      <c r="G18" s="17"/>
      <c r="H18" s="17" t="s">
        <v>3</v>
      </c>
    </row>
    <row r="19" spans="1:8" ht="30" customHeight="1" x14ac:dyDescent="0.3">
      <c r="A19" s="17" t="s">
        <v>506</v>
      </c>
      <c r="B19" s="17" t="s">
        <v>480</v>
      </c>
      <c r="C19" s="18" t="s">
        <v>470</v>
      </c>
      <c r="D19" s="18" t="s">
        <v>507</v>
      </c>
      <c r="E19" s="17" t="s">
        <v>22</v>
      </c>
      <c r="F19" s="18" t="s">
        <v>472</v>
      </c>
      <c r="G19" s="17"/>
      <c r="H19" s="17" t="s">
        <v>3</v>
      </c>
    </row>
    <row r="20" spans="1:8" ht="30" customHeight="1" x14ac:dyDescent="0.3">
      <c r="A20" s="17" t="s">
        <v>508</v>
      </c>
      <c r="B20" s="17" t="s">
        <v>480</v>
      </c>
      <c r="C20" s="18" t="s">
        <v>470</v>
      </c>
      <c r="D20" s="18" t="s">
        <v>509</v>
      </c>
      <c r="E20" s="17" t="s">
        <v>22</v>
      </c>
      <c r="F20" s="18" t="s">
        <v>472</v>
      </c>
      <c r="G20" s="17"/>
      <c r="H20" s="17" t="s">
        <v>3</v>
      </c>
    </row>
    <row r="21" spans="1:8" ht="30" customHeight="1" x14ac:dyDescent="0.3">
      <c r="A21" s="17" t="s">
        <v>510</v>
      </c>
      <c r="B21" s="17" t="s">
        <v>480</v>
      </c>
      <c r="C21" s="18" t="s">
        <v>470</v>
      </c>
      <c r="D21" s="18" t="s">
        <v>511</v>
      </c>
      <c r="E21" s="17" t="s">
        <v>22</v>
      </c>
      <c r="F21" s="18" t="s">
        <v>472</v>
      </c>
      <c r="G21" s="17"/>
      <c r="H21" s="17" t="s">
        <v>3</v>
      </c>
    </row>
    <row r="22" spans="1:8" ht="30" customHeight="1" x14ac:dyDescent="0.3">
      <c r="A22" s="17" t="s">
        <v>512</v>
      </c>
      <c r="B22" s="17" t="s">
        <v>480</v>
      </c>
      <c r="C22" s="18" t="s">
        <v>470</v>
      </c>
      <c r="D22" s="18" t="s">
        <v>513</v>
      </c>
      <c r="E22" s="17" t="s">
        <v>23</v>
      </c>
      <c r="F22" s="18" t="s">
        <v>510</v>
      </c>
      <c r="G22" s="17"/>
      <c r="H22" s="17" t="s">
        <v>3</v>
      </c>
    </row>
    <row r="23" spans="1:8" ht="30" customHeight="1" x14ac:dyDescent="0.3">
      <c r="A23" s="17" t="s">
        <v>514</v>
      </c>
      <c r="B23" s="17" t="s">
        <v>480</v>
      </c>
      <c r="C23" s="18" t="s">
        <v>470</v>
      </c>
      <c r="D23" s="18" t="s">
        <v>515</v>
      </c>
      <c r="E23" s="17" t="s">
        <v>23</v>
      </c>
      <c r="F23" s="18" t="s">
        <v>510</v>
      </c>
      <c r="G23" s="17"/>
      <c r="H23" s="17" t="s">
        <v>3</v>
      </c>
    </row>
    <row r="24" spans="1:8" ht="30" customHeight="1" x14ac:dyDescent="0.3">
      <c r="A24" s="17" t="s">
        <v>516</v>
      </c>
      <c r="B24" s="17" t="s">
        <v>480</v>
      </c>
      <c r="C24" s="18" t="s">
        <v>470</v>
      </c>
      <c r="D24" s="18" t="s">
        <v>517</v>
      </c>
      <c r="E24" s="17" t="s">
        <v>22</v>
      </c>
      <c r="F24" s="18" t="s">
        <v>472</v>
      </c>
      <c r="G24" s="17"/>
      <c r="H24" s="17" t="s">
        <v>3</v>
      </c>
    </row>
    <row r="25" spans="1:8" ht="30" customHeight="1" x14ac:dyDescent="0.3">
      <c r="A25" s="17" t="s">
        <v>518</v>
      </c>
      <c r="B25" s="17" t="s">
        <v>480</v>
      </c>
      <c r="C25" s="18" t="s">
        <v>470</v>
      </c>
      <c r="D25" s="18" t="s">
        <v>519</v>
      </c>
      <c r="E25" s="17" t="s">
        <v>22</v>
      </c>
      <c r="F25" s="18" t="s">
        <v>472</v>
      </c>
      <c r="G25" s="17"/>
      <c r="H25" s="17" t="s">
        <v>3</v>
      </c>
    </row>
    <row r="26" spans="1:8" ht="30" customHeight="1" x14ac:dyDescent="0.3">
      <c r="A26" s="17" t="s">
        <v>520</v>
      </c>
      <c r="B26" s="17" t="s">
        <v>480</v>
      </c>
      <c r="C26" s="18" t="s">
        <v>470</v>
      </c>
      <c r="D26" s="18" t="s">
        <v>521</v>
      </c>
      <c r="E26" s="17" t="s">
        <v>23</v>
      </c>
      <c r="F26" s="18" t="s">
        <v>518</v>
      </c>
      <c r="G26" s="17"/>
      <c r="H26" s="17" t="s">
        <v>3</v>
      </c>
    </row>
    <row r="27" spans="1:8" ht="30" customHeight="1" x14ac:dyDescent="0.3">
      <c r="A27" s="17" t="s">
        <v>522</v>
      </c>
      <c r="B27" s="17" t="s">
        <v>480</v>
      </c>
      <c r="C27" s="18" t="s">
        <v>470</v>
      </c>
      <c r="D27" s="18" t="s">
        <v>523</v>
      </c>
      <c r="E27" s="17" t="s">
        <v>23</v>
      </c>
      <c r="F27" s="18" t="s">
        <v>518</v>
      </c>
      <c r="G27" s="17"/>
      <c r="H27" s="17" t="s">
        <v>3</v>
      </c>
    </row>
    <row r="28" spans="1:8" ht="30" customHeight="1" x14ac:dyDescent="0.3">
      <c r="A28" s="17" t="s">
        <v>524</v>
      </c>
      <c r="B28" s="17" t="s">
        <v>480</v>
      </c>
      <c r="C28" s="18" t="s">
        <v>470</v>
      </c>
      <c r="D28" s="18" t="s">
        <v>525</v>
      </c>
      <c r="E28" s="17" t="s">
        <v>22</v>
      </c>
      <c r="F28" s="18" t="s">
        <v>472</v>
      </c>
      <c r="G28" s="17"/>
      <c r="H28" s="17" t="s">
        <v>3</v>
      </c>
    </row>
    <row r="29" spans="1:8" ht="30" customHeight="1" x14ac:dyDescent="0.3">
      <c r="A29" s="17" t="s">
        <v>526</v>
      </c>
      <c r="B29" s="17" t="s">
        <v>527</v>
      </c>
      <c r="C29" s="18" t="s">
        <v>470</v>
      </c>
      <c r="D29" s="18" t="s">
        <v>528</v>
      </c>
      <c r="E29" s="17" t="s">
        <v>22</v>
      </c>
      <c r="F29" s="18" t="s">
        <v>472</v>
      </c>
      <c r="G29" s="17"/>
      <c r="H29" s="17" t="s">
        <v>4</v>
      </c>
    </row>
    <row r="30" spans="1:8" ht="30" customHeight="1" x14ac:dyDescent="0.3">
      <c r="A30" s="17" t="s">
        <v>529</v>
      </c>
      <c r="B30" s="17" t="s">
        <v>527</v>
      </c>
      <c r="C30" s="18" t="s">
        <v>470</v>
      </c>
      <c r="D30" s="18" t="s">
        <v>530</v>
      </c>
      <c r="E30" s="17" t="s">
        <v>22</v>
      </c>
      <c r="F30" s="18" t="s">
        <v>472</v>
      </c>
      <c r="G30" s="17"/>
      <c r="H30" s="17" t="s">
        <v>4</v>
      </c>
    </row>
    <row r="31" spans="1:8" ht="30" customHeight="1" x14ac:dyDescent="0.3">
      <c r="A31" s="17" t="s">
        <v>531</v>
      </c>
      <c r="B31" s="17" t="s">
        <v>527</v>
      </c>
      <c r="C31" s="18" t="s">
        <v>470</v>
      </c>
      <c r="D31" s="18" t="s">
        <v>532</v>
      </c>
      <c r="E31" s="17" t="s">
        <v>23</v>
      </c>
      <c r="F31" s="18" t="s">
        <v>529</v>
      </c>
      <c r="G31" s="17"/>
      <c r="H31" s="17" t="s">
        <v>3</v>
      </c>
    </row>
    <row r="32" spans="1:8" ht="30" customHeight="1" x14ac:dyDescent="0.3">
      <c r="A32" s="17" t="s">
        <v>533</v>
      </c>
      <c r="B32" s="17" t="s">
        <v>527</v>
      </c>
      <c r="C32" s="18" t="s">
        <v>470</v>
      </c>
      <c r="D32" s="18" t="s">
        <v>534</v>
      </c>
      <c r="E32" s="17" t="s">
        <v>23</v>
      </c>
      <c r="F32" s="18" t="s">
        <v>529</v>
      </c>
      <c r="G32" s="17"/>
      <c r="H32" s="17" t="s">
        <v>3</v>
      </c>
    </row>
    <row r="33" spans="1:8" ht="30" customHeight="1" x14ac:dyDescent="0.3">
      <c r="A33" s="17" t="s">
        <v>535</v>
      </c>
      <c r="B33" s="17" t="s">
        <v>527</v>
      </c>
      <c r="C33" s="18" t="s">
        <v>470</v>
      </c>
      <c r="D33" s="18" t="s">
        <v>536</v>
      </c>
      <c r="E33" s="17" t="s">
        <v>22</v>
      </c>
      <c r="F33" s="18" t="s">
        <v>472</v>
      </c>
      <c r="G33" s="17"/>
      <c r="H33" s="17" t="s">
        <v>4</v>
      </c>
    </row>
    <row r="34" spans="1:8" ht="30" customHeight="1" x14ac:dyDescent="0.3">
      <c r="A34" s="17" t="s">
        <v>537</v>
      </c>
      <c r="B34" s="17" t="s">
        <v>527</v>
      </c>
      <c r="C34" s="18" t="s">
        <v>470</v>
      </c>
      <c r="D34" s="18" t="s">
        <v>538</v>
      </c>
      <c r="E34" s="17" t="s">
        <v>22</v>
      </c>
      <c r="F34" s="18" t="s">
        <v>472</v>
      </c>
      <c r="G34" s="17"/>
      <c r="H34" s="17" t="s">
        <v>3</v>
      </c>
    </row>
    <row r="35" spans="1:8" ht="30" customHeight="1" x14ac:dyDescent="0.3">
      <c r="A35" s="17" t="s">
        <v>539</v>
      </c>
      <c r="B35" s="17" t="s">
        <v>527</v>
      </c>
      <c r="C35" s="18" t="s">
        <v>470</v>
      </c>
      <c r="D35" s="18" t="s">
        <v>540</v>
      </c>
      <c r="E35" s="17" t="s">
        <v>23</v>
      </c>
      <c r="F35" s="18" t="s">
        <v>537</v>
      </c>
      <c r="G35" s="17"/>
      <c r="H35" s="17" t="s">
        <v>3</v>
      </c>
    </row>
    <row r="36" spans="1:8" ht="30" customHeight="1" x14ac:dyDescent="0.3">
      <c r="A36" s="17" t="s">
        <v>541</v>
      </c>
      <c r="B36" s="17" t="s">
        <v>527</v>
      </c>
      <c r="C36" s="18" t="s">
        <v>470</v>
      </c>
      <c r="D36" s="18" t="s">
        <v>542</v>
      </c>
      <c r="E36" s="17" t="s">
        <v>23</v>
      </c>
      <c r="F36" s="18" t="s">
        <v>537</v>
      </c>
      <c r="G36" s="17"/>
      <c r="H36" s="17" t="s">
        <v>3</v>
      </c>
    </row>
    <row r="37" spans="1:8" ht="30" customHeight="1" x14ac:dyDescent="0.3">
      <c r="A37" s="17" t="s">
        <v>543</v>
      </c>
      <c r="B37" s="17" t="s">
        <v>527</v>
      </c>
      <c r="C37" s="18" t="s">
        <v>470</v>
      </c>
      <c r="D37" s="18" t="s">
        <v>544</v>
      </c>
      <c r="E37" s="17" t="s">
        <v>22</v>
      </c>
      <c r="F37" s="18" t="s">
        <v>472</v>
      </c>
      <c r="G37" s="17"/>
      <c r="H37" s="17" t="s">
        <v>3</v>
      </c>
    </row>
    <row r="38" spans="1:8" ht="30" customHeight="1" x14ac:dyDescent="0.3">
      <c r="A38" s="17" t="s">
        <v>545</v>
      </c>
      <c r="B38" s="17" t="s">
        <v>527</v>
      </c>
      <c r="C38" s="18" t="s">
        <v>470</v>
      </c>
      <c r="D38" s="18" t="s">
        <v>546</v>
      </c>
      <c r="E38" s="17" t="s">
        <v>22</v>
      </c>
      <c r="F38" s="18" t="s">
        <v>472</v>
      </c>
      <c r="G38" s="17"/>
      <c r="H38" s="17" t="s">
        <v>3</v>
      </c>
    </row>
    <row r="39" spans="1:8" ht="30" customHeight="1" x14ac:dyDescent="0.3">
      <c r="A39" s="17" t="s">
        <v>547</v>
      </c>
      <c r="B39" s="17" t="s">
        <v>527</v>
      </c>
      <c r="C39" s="18" t="s">
        <v>470</v>
      </c>
      <c r="D39" s="18" t="s">
        <v>548</v>
      </c>
      <c r="E39" s="17" t="s">
        <v>23</v>
      </c>
      <c r="F39" s="18" t="s">
        <v>545</v>
      </c>
      <c r="G39" s="17"/>
      <c r="H39" s="17" t="s">
        <v>3</v>
      </c>
    </row>
    <row r="40" spans="1:8" ht="30" customHeight="1" x14ac:dyDescent="0.3">
      <c r="A40" s="17" t="s">
        <v>549</v>
      </c>
      <c r="B40" s="17" t="s">
        <v>527</v>
      </c>
      <c r="C40" s="18" t="s">
        <v>470</v>
      </c>
      <c r="D40" s="18" t="s">
        <v>550</v>
      </c>
      <c r="E40" s="17" t="s">
        <v>23</v>
      </c>
      <c r="F40" s="18" t="s">
        <v>545</v>
      </c>
      <c r="G40" s="17"/>
      <c r="H40" s="17" t="s">
        <v>3</v>
      </c>
    </row>
    <row r="41" spans="1:8" ht="30" customHeight="1" x14ac:dyDescent="0.3">
      <c r="A41" s="17" t="s">
        <v>551</v>
      </c>
      <c r="B41" s="17" t="s">
        <v>527</v>
      </c>
      <c r="C41" s="18" t="s">
        <v>470</v>
      </c>
      <c r="D41" s="18" t="s">
        <v>552</v>
      </c>
      <c r="E41" s="17" t="s">
        <v>22</v>
      </c>
      <c r="F41" s="18" t="s">
        <v>472</v>
      </c>
      <c r="G41" s="17"/>
      <c r="H41" s="17" t="s">
        <v>3</v>
      </c>
    </row>
    <row r="42" spans="1:8" ht="30" customHeight="1" x14ac:dyDescent="0.3">
      <c r="A42" s="17" t="s">
        <v>553</v>
      </c>
      <c r="B42" s="17" t="s">
        <v>527</v>
      </c>
      <c r="C42" s="18" t="s">
        <v>470</v>
      </c>
      <c r="D42" s="18" t="s">
        <v>554</v>
      </c>
      <c r="E42" s="17" t="s">
        <v>22</v>
      </c>
      <c r="F42" s="18" t="s">
        <v>472</v>
      </c>
      <c r="G42" s="17"/>
      <c r="H42" s="17" t="s">
        <v>3</v>
      </c>
    </row>
    <row r="43" spans="1:8" ht="30" customHeight="1" x14ac:dyDescent="0.3">
      <c r="A43" s="17" t="s">
        <v>555</v>
      </c>
      <c r="B43" s="17" t="s">
        <v>527</v>
      </c>
      <c r="C43" s="18" t="s">
        <v>470</v>
      </c>
      <c r="D43" s="18" t="s">
        <v>519</v>
      </c>
      <c r="E43" s="17" t="s">
        <v>22</v>
      </c>
      <c r="F43" s="18" t="s">
        <v>472</v>
      </c>
      <c r="G43" s="17"/>
      <c r="H43" s="17" t="s">
        <v>3</v>
      </c>
    </row>
    <row r="44" spans="1:8" ht="30" customHeight="1" x14ac:dyDescent="0.3">
      <c r="A44" s="17" t="s">
        <v>556</v>
      </c>
      <c r="B44" s="17" t="s">
        <v>527</v>
      </c>
      <c r="C44" s="18" t="s">
        <v>470</v>
      </c>
      <c r="D44" s="18" t="s">
        <v>521</v>
      </c>
      <c r="E44" s="17" t="s">
        <v>23</v>
      </c>
      <c r="F44" s="18" t="s">
        <v>555</v>
      </c>
      <c r="G44" s="17"/>
      <c r="H44" s="17" t="s">
        <v>3</v>
      </c>
    </row>
    <row r="45" spans="1:8" ht="30" customHeight="1" x14ac:dyDescent="0.3">
      <c r="A45" s="17" t="s">
        <v>557</v>
      </c>
      <c r="B45" s="17" t="s">
        <v>527</v>
      </c>
      <c r="C45" s="18" t="s">
        <v>470</v>
      </c>
      <c r="D45" s="18" t="s">
        <v>523</v>
      </c>
      <c r="E45" s="17" t="s">
        <v>23</v>
      </c>
      <c r="F45" s="18" t="s">
        <v>555</v>
      </c>
      <c r="G45" s="17"/>
      <c r="H45" s="17" t="s">
        <v>3</v>
      </c>
    </row>
    <row r="46" spans="1:8" ht="30" customHeight="1" x14ac:dyDescent="0.3">
      <c r="A46" s="17" t="s">
        <v>558</v>
      </c>
      <c r="B46" s="17" t="s">
        <v>527</v>
      </c>
      <c r="C46" s="18" t="s">
        <v>470</v>
      </c>
      <c r="D46" s="18" t="s">
        <v>525</v>
      </c>
      <c r="E46" s="17" t="s">
        <v>22</v>
      </c>
      <c r="F46" s="18" t="s">
        <v>472</v>
      </c>
      <c r="G46" s="17"/>
      <c r="H46" s="17" t="s">
        <v>3</v>
      </c>
    </row>
    <row r="47" spans="1:8" ht="30" customHeight="1" x14ac:dyDescent="0.3">
      <c r="A47" s="17" t="s">
        <v>559</v>
      </c>
      <c r="B47" s="17" t="s">
        <v>560</v>
      </c>
      <c r="C47" s="18" t="s">
        <v>561</v>
      </c>
      <c r="D47" s="18" t="s">
        <v>562</v>
      </c>
      <c r="E47" s="17" t="s">
        <v>22</v>
      </c>
      <c r="F47" s="18" t="s">
        <v>563</v>
      </c>
      <c r="G47" s="17"/>
      <c r="H47" s="17" t="s">
        <v>3</v>
      </c>
    </row>
    <row r="48" spans="1:8" ht="30" customHeight="1" x14ac:dyDescent="0.3">
      <c r="A48" s="17" t="s">
        <v>564</v>
      </c>
      <c r="B48" s="17" t="s">
        <v>560</v>
      </c>
      <c r="C48" s="18" t="s">
        <v>561</v>
      </c>
      <c r="D48" s="18" t="s">
        <v>565</v>
      </c>
      <c r="E48" s="17" t="s">
        <v>22</v>
      </c>
      <c r="F48" s="18" t="s">
        <v>563</v>
      </c>
      <c r="G48" s="17"/>
      <c r="H48" s="17" t="s">
        <v>7</v>
      </c>
    </row>
    <row r="49" spans="1:8" ht="30" customHeight="1" x14ac:dyDescent="0.3">
      <c r="A49" s="17" t="s">
        <v>566</v>
      </c>
      <c r="B49" s="17" t="s">
        <v>567</v>
      </c>
      <c r="C49" s="18" t="s">
        <v>561</v>
      </c>
      <c r="D49" s="18" t="s">
        <v>568</v>
      </c>
      <c r="E49" s="17" t="s">
        <v>22</v>
      </c>
      <c r="F49" s="18" t="s">
        <v>563</v>
      </c>
      <c r="G49" s="17"/>
      <c r="H49" s="17" t="s">
        <v>3</v>
      </c>
    </row>
    <row r="50" spans="1:8" ht="30" customHeight="1" x14ac:dyDescent="0.3">
      <c r="A50" s="17" t="s">
        <v>569</v>
      </c>
      <c r="B50" s="17" t="s">
        <v>567</v>
      </c>
      <c r="C50" s="18" t="s">
        <v>561</v>
      </c>
      <c r="D50" s="18" t="s">
        <v>570</v>
      </c>
      <c r="E50" s="17" t="s">
        <v>22</v>
      </c>
      <c r="F50" s="18" t="s">
        <v>563</v>
      </c>
      <c r="G50" s="17"/>
      <c r="H50" s="17" t="s">
        <v>3</v>
      </c>
    </row>
    <row r="51" spans="1:8" ht="30" customHeight="1" x14ac:dyDescent="0.3">
      <c r="A51" s="17" t="s">
        <v>571</v>
      </c>
      <c r="B51" s="17" t="s">
        <v>567</v>
      </c>
      <c r="C51" s="18" t="s">
        <v>561</v>
      </c>
      <c r="D51" s="18" t="s">
        <v>572</v>
      </c>
      <c r="E51" s="17" t="s">
        <v>22</v>
      </c>
      <c r="F51" s="18" t="s">
        <v>563</v>
      </c>
      <c r="G51" s="17"/>
      <c r="H51" s="17" t="s">
        <v>3</v>
      </c>
    </row>
    <row r="52" spans="1:8" ht="30" customHeight="1" x14ac:dyDescent="0.3">
      <c r="A52" s="17" t="s">
        <v>573</v>
      </c>
      <c r="B52" s="17" t="s">
        <v>567</v>
      </c>
      <c r="C52" s="18" t="s">
        <v>561</v>
      </c>
      <c r="D52" s="18" t="s">
        <v>574</v>
      </c>
      <c r="E52" s="17" t="s">
        <v>22</v>
      </c>
      <c r="F52" s="18" t="s">
        <v>563</v>
      </c>
      <c r="G52" s="17"/>
      <c r="H52" s="17" t="s">
        <v>3</v>
      </c>
    </row>
    <row r="53" spans="1:8" ht="30" customHeight="1" x14ac:dyDescent="0.3">
      <c r="A53" s="17" t="s">
        <v>575</v>
      </c>
      <c r="B53" s="17" t="s">
        <v>567</v>
      </c>
      <c r="C53" s="18" t="s">
        <v>561</v>
      </c>
      <c r="D53" s="18" t="s">
        <v>576</v>
      </c>
      <c r="E53" s="17" t="s">
        <v>22</v>
      </c>
      <c r="F53" s="18" t="s">
        <v>563</v>
      </c>
      <c r="G53" s="17"/>
      <c r="H53" s="17" t="s">
        <v>3</v>
      </c>
    </row>
    <row r="54" spans="1:8" ht="30" customHeight="1" x14ac:dyDescent="0.3">
      <c r="A54" s="17" t="s">
        <v>577</v>
      </c>
      <c r="B54" s="17" t="s">
        <v>567</v>
      </c>
      <c r="C54" s="18" t="s">
        <v>561</v>
      </c>
      <c r="D54" s="18" t="s">
        <v>578</v>
      </c>
      <c r="E54" s="17" t="s">
        <v>22</v>
      </c>
      <c r="F54" s="18" t="s">
        <v>563</v>
      </c>
      <c r="G54" s="17"/>
      <c r="H54" s="17" t="s">
        <v>3</v>
      </c>
    </row>
    <row r="55" spans="1:8" ht="30" customHeight="1" x14ac:dyDescent="0.3">
      <c r="A55" s="17" t="s">
        <v>579</v>
      </c>
      <c r="B55" s="17" t="s">
        <v>567</v>
      </c>
      <c r="C55" s="18" t="s">
        <v>561</v>
      </c>
      <c r="D55" s="18" t="s">
        <v>580</v>
      </c>
      <c r="E55" s="17" t="s">
        <v>22</v>
      </c>
      <c r="F55" s="18" t="s">
        <v>563</v>
      </c>
      <c r="G55" s="17"/>
      <c r="H55" s="17" t="s">
        <v>4</v>
      </c>
    </row>
    <row r="56" spans="1:8" ht="30" customHeight="1" x14ac:dyDescent="0.3">
      <c r="A56" s="17" t="s">
        <v>581</v>
      </c>
      <c r="B56" s="17" t="s">
        <v>582</v>
      </c>
      <c r="C56" s="18" t="s">
        <v>561</v>
      </c>
      <c r="D56" s="18" t="s">
        <v>583</v>
      </c>
      <c r="E56" s="17" t="s">
        <v>22</v>
      </c>
      <c r="F56" s="18" t="s">
        <v>563</v>
      </c>
      <c r="G56" s="17"/>
      <c r="H56" s="17" t="s">
        <v>3</v>
      </c>
    </row>
    <row r="57" spans="1:8" ht="30" customHeight="1" x14ac:dyDescent="0.3">
      <c r="A57" s="17" t="s">
        <v>584</v>
      </c>
      <c r="B57" s="17" t="s">
        <v>582</v>
      </c>
      <c r="C57" s="18" t="s">
        <v>561</v>
      </c>
      <c r="D57" s="18" t="s">
        <v>585</v>
      </c>
      <c r="E57" s="17" t="s">
        <v>22</v>
      </c>
      <c r="F57" s="18" t="s">
        <v>563</v>
      </c>
      <c r="G57" s="17"/>
      <c r="H57" s="17" t="s">
        <v>3</v>
      </c>
    </row>
    <row r="58" spans="1:8" ht="30" customHeight="1" x14ac:dyDescent="0.3">
      <c r="A58" s="17" t="s">
        <v>586</v>
      </c>
      <c r="B58" s="17" t="s">
        <v>582</v>
      </c>
      <c r="C58" s="18" t="s">
        <v>561</v>
      </c>
      <c r="D58" s="18" t="s">
        <v>587</v>
      </c>
      <c r="E58" s="17" t="s">
        <v>22</v>
      </c>
      <c r="F58" s="18" t="s">
        <v>563</v>
      </c>
      <c r="G58" s="17"/>
      <c r="H58" s="17" t="s">
        <v>7</v>
      </c>
    </row>
    <row r="59" spans="1:8" ht="30" customHeight="1" x14ac:dyDescent="0.3">
      <c r="A59" s="17" t="s">
        <v>588</v>
      </c>
      <c r="B59" s="17" t="s">
        <v>582</v>
      </c>
      <c r="C59" s="18" t="s">
        <v>561</v>
      </c>
      <c r="D59" s="18" t="s">
        <v>589</v>
      </c>
      <c r="E59" s="17" t="s">
        <v>22</v>
      </c>
      <c r="F59" s="18" t="s">
        <v>563</v>
      </c>
      <c r="G59" s="17"/>
      <c r="H59" s="17" t="s">
        <v>3</v>
      </c>
    </row>
    <row r="60" spans="1:8" ht="30" customHeight="1" x14ac:dyDescent="0.3">
      <c r="A60" s="17" t="s">
        <v>590</v>
      </c>
      <c r="B60" s="17" t="s">
        <v>582</v>
      </c>
      <c r="C60" s="18" t="s">
        <v>561</v>
      </c>
      <c r="D60" s="18" t="s">
        <v>591</v>
      </c>
      <c r="E60" s="17" t="s">
        <v>22</v>
      </c>
      <c r="F60" s="18" t="s">
        <v>563</v>
      </c>
      <c r="G60" s="17"/>
      <c r="H60" s="17" t="s">
        <v>3</v>
      </c>
    </row>
    <row r="61" spans="1:8" ht="30" customHeight="1" x14ac:dyDescent="0.3">
      <c r="A61" s="17" t="s">
        <v>592</v>
      </c>
      <c r="B61" s="17" t="s">
        <v>582</v>
      </c>
      <c r="C61" s="18" t="s">
        <v>561</v>
      </c>
      <c r="D61" s="18" t="s">
        <v>593</v>
      </c>
      <c r="E61" s="17" t="s">
        <v>22</v>
      </c>
      <c r="F61" s="18" t="s">
        <v>563</v>
      </c>
      <c r="G61" s="17"/>
      <c r="H61" s="17" t="s">
        <v>3</v>
      </c>
    </row>
    <row r="62" spans="1:8" ht="30" customHeight="1" x14ac:dyDescent="0.3">
      <c r="A62" s="17" t="s">
        <v>594</v>
      </c>
      <c r="B62" s="17" t="s">
        <v>595</v>
      </c>
      <c r="C62" s="18" t="s">
        <v>561</v>
      </c>
      <c r="D62" s="18" t="s">
        <v>596</v>
      </c>
      <c r="E62" s="17" t="s">
        <v>22</v>
      </c>
      <c r="F62" s="18" t="s">
        <v>563</v>
      </c>
      <c r="G62" s="17"/>
      <c r="H62" s="17" t="s">
        <v>4</v>
      </c>
    </row>
    <row r="63" spans="1:8" ht="30" customHeight="1" x14ac:dyDescent="0.3">
      <c r="A63" s="17" t="s">
        <v>597</v>
      </c>
      <c r="B63" s="17" t="s">
        <v>595</v>
      </c>
      <c r="C63" s="18" t="s">
        <v>561</v>
      </c>
      <c r="D63" s="18" t="s">
        <v>598</v>
      </c>
      <c r="E63" s="17" t="s">
        <v>22</v>
      </c>
      <c r="F63" s="18" t="s">
        <v>563</v>
      </c>
      <c r="G63" s="17"/>
      <c r="H63" s="17" t="s">
        <v>3</v>
      </c>
    </row>
    <row r="64" spans="1:8" ht="30" customHeight="1" x14ac:dyDescent="0.3">
      <c r="A64" s="17" t="s">
        <v>599</v>
      </c>
      <c r="B64" s="17" t="s">
        <v>595</v>
      </c>
      <c r="C64" s="18" t="s">
        <v>561</v>
      </c>
      <c r="D64" s="18" t="s">
        <v>600</v>
      </c>
      <c r="E64" s="17" t="s">
        <v>22</v>
      </c>
      <c r="F64" s="18" t="s">
        <v>563</v>
      </c>
      <c r="G64" s="17"/>
      <c r="H64" s="17" t="s">
        <v>4</v>
      </c>
    </row>
    <row r="65" spans="1:8" ht="30" customHeight="1" x14ac:dyDescent="0.3">
      <c r="A65" s="17" t="s">
        <v>601</v>
      </c>
      <c r="B65" s="17" t="s">
        <v>595</v>
      </c>
      <c r="C65" s="18" t="s">
        <v>561</v>
      </c>
      <c r="D65" s="18" t="s">
        <v>602</v>
      </c>
      <c r="E65" s="17" t="s">
        <v>22</v>
      </c>
      <c r="F65" s="18" t="s">
        <v>563</v>
      </c>
      <c r="G65" s="17"/>
      <c r="H65" s="17" t="s">
        <v>3</v>
      </c>
    </row>
    <row r="66" spans="1:8" ht="30" customHeight="1" x14ac:dyDescent="0.3">
      <c r="A66" s="17" t="s">
        <v>603</v>
      </c>
      <c r="B66" s="17" t="s">
        <v>595</v>
      </c>
      <c r="C66" s="18" t="s">
        <v>561</v>
      </c>
      <c r="D66" s="18" t="s">
        <v>604</v>
      </c>
      <c r="E66" s="17" t="s">
        <v>22</v>
      </c>
      <c r="F66" s="18" t="s">
        <v>563</v>
      </c>
      <c r="G66" s="17"/>
      <c r="H66" s="17" t="s">
        <v>3</v>
      </c>
    </row>
    <row r="67" spans="1:8" ht="30" customHeight="1" x14ac:dyDescent="0.3">
      <c r="A67" s="17" t="s">
        <v>605</v>
      </c>
      <c r="B67" s="17" t="s">
        <v>595</v>
      </c>
      <c r="C67" s="18" t="s">
        <v>561</v>
      </c>
      <c r="D67" s="18" t="s">
        <v>606</v>
      </c>
      <c r="E67" s="17" t="s">
        <v>22</v>
      </c>
      <c r="F67" s="18" t="s">
        <v>563</v>
      </c>
      <c r="G67" s="17"/>
      <c r="H67" s="17" t="s">
        <v>3</v>
      </c>
    </row>
    <row r="68" spans="1:8" ht="30" customHeight="1" x14ac:dyDescent="0.3">
      <c r="A68" s="17" t="s">
        <v>607</v>
      </c>
      <c r="B68" s="17" t="s">
        <v>595</v>
      </c>
      <c r="C68" s="18" t="s">
        <v>561</v>
      </c>
      <c r="D68" s="18" t="s">
        <v>608</v>
      </c>
      <c r="E68" s="17" t="s">
        <v>22</v>
      </c>
      <c r="F68" s="18" t="s">
        <v>563</v>
      </c>
      <c r="G68" s="17"/>
      <c r="H68" s="17" t="s">
        <v>3</v>
      </c>
    </row>
    <row r="69" spans="1:8" ht="30" customHeight="1" x14ac:dyDescent="0.3">
      <c r="A69" s="17" t="s">
        <v>609</v>
      </c>
      <c r="B69" s="17" t="s">
        <v>595</v>
      </c>
      <c r="C69" s="18" t="s">
        <v>561</v>
      </c>
      <c r="D69" s="18" t="s">
        <v>610</v>
      </c>
      <c r="E69" s="17" t="s">
        <v>22</v>
      </c>
      <c r="F69" s="18" t="s">
        <v>563</v>
      </c>
      <c r="G69" s="17"/>
      <c r="H69" s="17" t="s">
        <v>7</v>
      </c>
    </row>
    <row r="70" spans="1:8" ht="30" customHeight="1" x14ac:dyDescent="0.3">
      <c r="A70" s="17" t="s">
        <v>611</v>
      </c>
      <c r="B70" s="17" t="s">
        <v>595</v>
      </c>
      <c r="C70" s="18" t="s">
        <v>561</v>
      </c>
      <c r="D70" s="18" t="s">
        <v>612</v>
      </c>
      <c r="E70" s="17" t="s">
        <v>22</v>
      </c>
      <c r="F70" s="18" t="s">
        <v>563</v>
      </c>
      <c r="G70" s="17"/>
      <c r="H70" s="17" t="s">
        <v>7</v>
      </c>
    </row>
    <row r="71" spans="1:8" ht="30" customHeight="1" x14ac:dyDescent="0.3">
      <c r="A71" s="17" t="s">
        <v>613</v>
      </c>
      <c r="B71" s="17" t="s">
        <v>595</v>
      </c>
      <c r="C71" s="18" t="s">
        <v>561</v>
      </c>
      <c r="D71" s="18" t="s">
        <v>614</v>
      </c>
      <c r="E71" s="17" t="s">
        <v>22</v>
      </c>
      <c r="F71" s="18" t="s">
        <v>563</v>
      </c>
      <c r="G71" s="17"/>
      <c r="H71" s="17" t="s">
        <v>3</v>
      </c>
    </row>
    <row r="72" spans="1:8" ht="30" customHeight="1" x14ac:dyDescent="0.3">
      <c r="A72" s="17" t="s">
        <v>615</v>
      </c>
      <c r="B72" s="17" t="s">
        <v>595</v>
      </c>
      <c r="C72" s="18" t="s">
        <v>561</v>
      </c>
      <c r="D72" s="18" t="s">
        <v>616</v>
      </c>
      <c r="E72" s="17" t="s">
        <v>22</v>
      </c>
      <c r="F72" s="18" t="s">
        <v>563</v>
      </c>
      <c r="G72" s="17"/>
      <c r="H72" s="17" t="s">
        <v>3</v>
      </c>
    </row>
    <row r="73" spans="1:8" ht="30" customHeight="1" x14ac:dyDescent="0.3">
      <c r="A73" s="17" t="s">
        <v>617</v>
      </c>
      <c r="B73" s="17" t="s">
        <v>595</v>
      </c>
      <c r="C73" s="18" t="s">
        <v>561</v>
      </c>
      <c r="D73" s="18" t="s">
        <v>618</v>
      </c>
      <c r="E73" s="17" t="s">
        <v>22</v>
      </c>
      <c r="F73" s="18" t="s">
        <v>563</v>
      </c>
      <c r="G73" s="17"/>
      <c r="H73" s="17" t="s">
        <v>3</v>
      </c>
    </row>
    <row r="74" spans="1:8" ht="30" customHeight="1" x14ac:dyDescent="0.3">
      <c r="A74" s="17" t="s">
        <v>619</v>
      </c>
      <c r="B74" s="17" t="s">
        <v>620</v>
      </c>
      <c r="C74" s="18" t="s">
        <v>621</v>
      </c>
      <c r="D74" s="18" t="s">
        <v>622</v>
      </c>
      <c r="E74" s="17" t="s">
        <v>22</v>
      </c>
      <c r="F74" s="18" t="s">
        <v>449</v>
      </c>
      <c r="G74" s="17"/>
      <c r="H74" s="17" t="s">
        <v>3</v>
      </c>
    </row>
    <row r="75" spans="1:8" ht="30" customHeight="1" x14ac:dyDescent="0.3">
      <c r="A75" s="17" t="s">
        <v>623</v>
      </c>
      <c r="B75" s="17" t="s">
        <v>620</v>
      </c>
      <c r="C75" s="18" t="s">
        <v>621</v>
      </c>
      <c r="D75" s="18" t="s">
        <v>624</v>
      </c>
      <c r="E75" s="17" t="s">
        <v>22</v>
      </c>
      <c r="F75" s="18" t="s">
        <v>449</v>
      </c>
      <c r="G75" s="17"/>
      <c r="H75" s="17" t="s">
        <v>3</v>
      </c>
    </row>
    <row r="76" spans="1:8" ht="30" customHeight="1" x14ac:dyDescent="0.3">
      <c r="A76" s="17" t="s">
        <v>625</v>
      </c>
      <c r="B76" s="17" t="s">
        <v>620</v>
      </c>
      <c r="C76" s="18" t="s">
        <v>621</v>
      </c>
      <c r="D76" s="18" t="s">
        <v>626</v>
      </c>
      <c r="E76" s="17" t="s">
        <v>21</v>
      </c>
      <c r="F76" s="18" t="s">
        <v>449</v>
      </c>
      <c r="G76" s="17"/>
      <c r="H76" s="17" t="s">
        <v>4</v>
      </c>
    </row>
    <row r="77" spans="1:8" ht="30" customHeight="1" x14ac:dyDescent="0.3">
      <c r="A77" s="17" t="s">
        <v>627</v>
      </c>
      <c r="B77" s="17" t="s">
        <v>620</v>
      </c>
      <c r="C77" s="18" t="s">
        <v>621</v>
      </c>
      <c r="D77" s="18" t="s">
        <v>628</v>
      </c>
      <c r="E77" s="17" t="s">
        <v>22</v>
      </c>
      <c r="F77" s="18" t="s">
        <v>449</v>
      </c>
      <c r="G77" s="17"/>
      <c r="H77" s="17" t="s">
        <v>3</v>
      </c>
    </row>
    <row r="78" spans="1:8" ht="30" customHeight="1" x14ac:dyDescent="0.3">
      <c r="A78" s="17" t="s">
        <v>629</v>
      </c>
      <c r="B78" s="17" t="s">
        <v>620</v>
      </c>
      <c r="C78" s="18" t="s">
        <v>630</v>
      </c>
      <c r="D78" s="18" t="s">
        <v>631</v>
      </c>
      <c r="E78" s="17" t="s">
        <v>22</v>
      </c>
      <c r="F78" s="18" t="s">
        <v>449</v>
      </c>
      <c r="G78" s="17"/>
      <c r="H78" s="17" t="s">
        <v>3</v>
      </c>
    </row>
    <row r="79" spans="1:8" ht="30" customHeight="1" x14ac:dyDescent="0.3">
      <c r="A79" s="17" t="s">
        <v>632</v>
      </c>
      <c r="B79" s="17" t="s">
        <v>620</v>
      </c>
      <c r="C79" s="18" t="s">
        <v>630</v>
      </c>
      <c r="D79" s="18" t="s">
        <v>633</v>
      </c>
      <c r="E79" s="17" t="s">
        <v>22</v>
      </c>
      <c r="F79" s="18" t="s">
        <v>449</v>
      </c>
      <c r="G79" s="17"/>
      <c r="H79" s="17" t="s">
        <v>3</v>
      </c>
    </row>
    <row r="80" spans="1:8" ht="30" customHeight="1" x14ac:dyDescent="0.3">
      <c r="A80" s="17" t="s">
        <v>634</v>
      </c>
      <c r="B80" s="17" t="s">
        <v>620</v>
      </c>
      <c r="C80" s="18" t="s">
        <v>630</v>
      </c>
      <c r="D80" s="18" t="s">
        <v>635</v>
      </c>
      <c r="E80" s="17" t="s">
        <v>24</v>
      </c>
      <c r="F80" s="18" t="s">
        <v>449</v>
      </c>
      <c r="G80" s="17"/>
      <c r="H80" s="17" t="s">
        <v>3</v>
      </c>
    </row>
    <row r="81" spans="1:8" ht="30" customHeight="1" x14ac:dyDescent="0.3">
      <c r="A81" s="17" t="s">
        <v>636</v>
      </c>
      <c r="B81" s="17" t="s">
        <v>620</v>
      </c>
      <c r="C81" s="18" t="s">
        <v>630</v>
      </c>
      <c r="D81" s="18" t="s">
        <v>637</v>
      </c>
      <c r="E81" s="17" t="s">
        <v>23</v>
      </c>
      <c r="F81" s="18" t="s">
        <v>449</v>
      </c>
      <c r="G81" s="17"/>
      <c r="H81" s="17" t="s">
        <v>3</v>
      </c>
    </row>
    <row r="82" spans="1:8" ht="30" customHeight="1" x14ac:dyDescent="0.3">
      <c r="A82" s="17" t="s">
        <v>638</v>
      </c>
      <c r="B82" s="17" t="s">
        <v>620</v>
      </c>
      <c r="C82" s="18" t="s">
        <v>630</v>
      </c>
      <c r="D82" s="18" t="s">
        <v>639</v>
      </c>
      <c r="E82" s="17" t="s">
        <v>23</v>
      </c>
      <c r="F82" s="18" t="s">
        <v>449</v>
      </c>
      <c r="G82" s="17"/>
      <c r="H82" s="17" t="s">
        <v>3</v>
      </c>
    </row>
    <row r="83" spans="1:8" ht="30" customHeight="1" x14ac:dyDescent="0.3">
      <c r="A83" s="17" t="s">
        <v>640</v>
      </c>
      <c r="B83" s="17" t="s">
        <v>620</v>
      </c>
      <c r="C83" s="18" t="s">
        <v>641</v>
      </c>
      <c r="D83" s="18" t="s">
        <v>642</v>
      </c>
      <c r="E83" s="17" t="s">
        <v>23</v>
      </c>
      <c r="F83" s="18" t="s">
        <v>449</v>
      </c>
      <c r="G83" s="17"/>
      <c r="H83" s="17" t="s">
        <v>3</v>
      </c>
    </row>
    <row r="84" spans="1:8" ht="30" customHeight="1" x14ac:dyDescent="0.3">
      <c r="A84" s="17" t="s">
        <v>643</v>
      </c>
      <c r="B84" s="17" t="s">
        <v>620</v>
      </c>
      <c r="C84" s="18" t="s">
        <v>641</v>
      </c>
      <c r="D84" s="18" t="s">
        <v>644</v>
      </c>
      <c r="E84" s="17" t="s">
        <v>23</v>
      </c>
      <c r="F84" s="18" t="s">
        <v>449</v>
      </c>
      <c r="G84" s="17"/>
      <c r="H84" s="17" t="s">
        <v>3</v>
      </c>
    </row>
    <row r="85" spans="1:8" ht="30" customHeight="1" x14ac:dyDescent="0.3">
      <c r="A85" s="17" t="s">
        <v>645</v>
      </c>
      <c r="B85" s="17" t="s">
        <v>620</v>
      </c>
      <c r="C85" s="18" t="s">
        <v>641</v>
      </c>
      <c r="D85" s="18" t="s">
        <v>646</v>
      </c>
      <c r="E85" s="17" t="s">
        <v>23</v>
      </c>
      <c r="F85" s="18" t="s">
        <v>449</v>
      </c>
      <c r="G85" s="17"/>
      <c r="H85" s="17" t="s">
        <v>3</v>
      </c>
    </row>
    <row r="86" spans="1:8" ht="30" customHeight="1" x14ac:dyDescent="0.3">
      <c r="A86" s="17" t="s">
        <v>647</v>
      </c>
      <c r="B86" s="17" t="s">
        <v>620</v>
      </c>
      <c r="C86" s="18" t="s">
        <v>648</v>
      </c>
      <c r="D86" s="18" t="s">
        <v>649</v>
      </c>
      <c r="E86" s="17" t="s">
        <v>24</v>
      </c>
      <c r="F86" s="18" t="s">
        <v>449</v>
      </c>
      <c r="G86" s="17"/>
      <c r="H86" s="17" t="s">
        <v>3</v>
      </c>
    </row>
    <row r="87" spans="1:8" ht="30" customHeight="1" x14ac:dyDescent="0.3">
      <c r="A87" s="17" t="s">
        <v>650</v>
      </c>
      <c r="B87" s="17" t="s">
        <v>620</v>
      </c>
      <c r="C87" s="18" t="s">
        <v>648</v>
      </c>
      <c r="D87" s="18" t="s">
        <v>651</v>
      </c>
      <c r="E87" s="17" t="s">
        <v>24</v>
      </c>
      <c r="F87" s="18" t="s">
        <v>449</v>
      </c>
      <c r="G87" s="17"/>
      <c r="H87" s="17" t="s">
        <v>3</v>
      </c>
    </row>
    <row r="88" spans="1:8" ht="30" customHeight="1" x14ac:dyDescent="0.3">
      <c r="A88" s="17" t="s">
        <v>652</v>
      </c>
      <c r="B88" s="17" t="s">
        <v>620</v>
      </c>
      <c r="C88" s="18" t="s">
        <v>648</v>
      </c>
      <c r="D88" s="18" t="s">
        <v>653</v>
      </c>
      <c r="E88" s="17" t="s">
        <v>24</v>
      </c>
      <c r="F88" s="18" t="s">
        <v>449</v>
      </c>
      <c r="G88" s="17"/>
      <c r="H88" s="17" t="s">
        <v>3</v>
      </c>
    </row>
  </sheetData>
  <conditionalFormatting sqref="E2:E88">
    <cfRule type="cellIs" dxfId="69" priority="2" operator="equal">
      <formula>"🟥 Critical"</formula>
    </cfRule>
    <cfRule type="cellIs" dxfId="68" priority="3" operator="equal">
      <formula>"🟧 High"</formula>
    </cfRule>
    <cfRule type="cellIs" dxfId="67" priority="4" operator="equal">
      <formula>"🟨 Medium"</formula>
    </cfRule>
    <cfRule type="cellIs" dxfId="66" priority="5" operator="equal">
      <formula>"🟩 Low"</formula>
    </cfRule>
  </conditionalFormatting>
  <conditionalFormatting sqref="H2:H88">
    <cfRule type="cellIs" dxfId="65" priority="6" operator="equal">
      <formula>"⬜ Not Started"</formula>
    </cfRule>
    <cfRule type="cellIs" dxfId="64" priority="7" operator="equal">
      <formula>"🟦 In Progress"</formula>
    </cfRule>
    <cfRule type="cellIs" dxfId="63" priority="8" operator="equal">
      <formula>"🟨 Testing"</formula>
    </cfRule>
    <cfRule type="cellIs" dxfId="62" priority="9" operator="equal">
      <formula>"🟪 Review"</formula>
    </cfRule>
    <cfRule type="cellIs" dxfId="61" priority="10" operator="equal">
      <formula>"🟩 Complete"</formula>
    </cfRule>
    <cfRule type="cellIs" dxfId="60" priority="11" operator="equal">
      <formula>"🔴 Blocked"</formula>
    </cfRule>
  </conditionalFormatting>
  <dataValidations count="2">
    <dataValidation type="list" sqref="E2:E88" xr:uid="{00000000-0002-0000-0200-000000000000}">
      <formula1>"🟥 Critical,🟧 High,🟨 Medium,🟩 Low"</formula1>
      <formula2>0</formula2>
    </dataValidation>
    <dataValidation type="list" sqref="H2:H88" xr:uid="{00000000-0002-0000-0200-000001000000}">
      <formula1>"⬜ Not Started,🟦 In Progress,🟨 Testing,🟪 Review,🟩 Complete,🔴 Blocked"</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9"/>
  <sheetViews>
    <sheetView zoomScaleNormal="100" workbookViewId="0">
      <pane ySplit="1" topLeftCell="A72" activePane="bottomLeft" state="frozen"/>
      <selection pane="bottomLeft" activeCell="H9" sqref="H9"/>
    </sheetView>
  </sheetViews>
  <sheetFormatPr defaultColWidth="8.6640625" defaultRowHeight="14.4" x14ac:dyDescent="0.3"/>
  <cols>
    <col min="1" max="1" width="10" customWidth="1"/>
    <col min="2" max="2" width="22" customWidth="1"/>
    <col min="3" max="3" width="24" customWidth="1"/>
    <col min="4" max="4" width="52" customWidth="1"/>
    <col min="5" max="5" width="14" customWidth="1"/>
    <col min="6" max="6" width="20" customWidth="1"/>
    <col min="7" max="7" width="14" customWidth="1"/>
    <col min="8" max="8" width="16" customWidth="1"/>
  </cols>
  <sheetData>
    <row r="1" spans="1:8" ht="30" customHeight="1" x14ac:dyDescent="0.3">
      <c r="A1" s="3" t="s">
        <v>25</v>
      </c>
      <c r="B1" s="3" t="s">
        <v>26</v>
      </c>
      <c r="C1" s="3" t="s">
        <v>27</v>
      </c>
      <c r="D1" s="3" t="s">
        <v>28</v>
      </c>
      <c r="E1" s="3" t="s">
        <v>29</v>
      </c>
      <c r="F1" s="3" t="s">
        <v>30</v>
      </c>
      <c r="G1" s="3" t="s">
        <v>31</v>
      </c>
      <c r="H1" s="3" t="s">
        <v>32</v>
      </c>
    </row>
    <row r="2" spans="1:8" ht="30" customHeight="1" x14ac:dyDescent="0.3">
      <c r="A2" s="17" t="s">
        <v>37</v>
      </c>
      <c r="B2" s="17" t="s">
        <v>34</v>
      </c>
      <c r="C2" s="18" t="s">
        <v>35</v>
      </c>
      <c r="D2" s="18" t="s">
        <v>654</v>
      </c>
      <c r="E2" s="17" t="s">
        <v>21</v>
      </c>
      <c r="F2" s="18" t="s">
        <v>449</v>
      </c>
      <c r="G2" s="17"/>
      <c r="H2" s="17" t="s">
        <v>4</v>
      </c>
    </row>
    <row r="3" spans="1:8" ht="30" customHeight="1" x14ac:dyDescent="0.3">
      <c r="A3" s="17" t="s">
        <v>43</v>
      </c>
      <c r="B3" s="17" t="s">
        <v>34</v>
      </c>
      <c r="C3" s="18" t="s">
        <v>41</v>
      </c>
      <c r="D3" s="18" t="s">
        <v>655</v>
      </c>
      <c r="E3" s="17" t="s">
        <v>22</v>
      </c>
      <c r="F3" s="18" t="s">
        <v>449</v>
      </c>
      <c r="G3" s="17"/>
      <c r="H3" s="17" t="s">
        <v>4</v>
      </c>
    </row>
    <row r="4" spans="1:8" ht="30" customHeight="1" x14ac:dyDescent="0.3">
      <c r="A4" s="17" t="s">
        <v>49</v>
      </c>
      <c r="B4" s="17" t="s">
        <v>34</v>
      </c>
      <c r="C4" s="18" t="s">
        <v>47</v>
      </c>
      <c r="D4" s="18" t="s">
        <v>656</v>
      </c>
      <c r="E4" s="17" t="s">
        <v>22</v>
      </c>
      <c r="F4" s="18" t="s">
        <v>449</v>
      </c>
      <c r="G4" s="17"/>
      <c r="H4" s="17" t="s">
        <v>4</v>
      </c>
    </row>
    <row r="5" spans="1:8" ht="30" customHeight="1" x14ac:dyDescent="0.3">
      <c r="A5" s="17" t="s">
        <v>55</v>
      </c>
      <c r="B5" s="17" t="s">
        <v>34</v>
      </c>
      <c r="C5" s="18" t="s">
        <v>53</v>
      </c>
      <c r="D5" s="18" t="s">
        <v>657</v>
      </c>
      <c r="E5" s="17" t="s">
        <v>22</v>
      </c>
      <c r="F5" s="18" t="s">
        <v>449</v>
      </c>
      <c r="G5" s="17"/>
      <c r="H5" s="17" t="s">
        <v>4</v>
      </c>
    </row>
    <row r="6" spans="1:8" ht="30" customHeight="1" x14ac:dyDescent="0.3">
      <c r="A6" s="17" t="s">
        <v>61</v>
      </c>
      <c r="B6" s="17" t="s">
        <v>34</v>
      </c>
      <c r="C6" s="18" t="s">
        <v>59</v>
      </c>
      <c r="D6" s="18" t="s">
        <v>658</v>
      </c>
      <c r="E6" s="17" t="s">
        <v>22</v>
      </c>
      <c r="F6" s="18" t="s">
        <v>449</v>
      </c>
      <c r="G6" s="17"/>
      <c r="H6" s="17" t="s">
        <v>4</v>
      </c>
    </row>
    <row r="7" spans="1:8" ht="30" customHeight="1" x14ac:dyDescent="0.3">
      <c r="A7" s="17" t="s">
        <v>67</v>
      </c>
      <c r="B7" s="17" t="s">
        <v>34</v>
      </c>
      <c r="C7" s="18" t="s">
        <v>65</v>
      </c>
      <c r="D7" s="18" t="s">
        <v>659</v>
      </c>
      <c r="E7" s="17" t="s">
        <v>22</v>
      </c>
      <c r="F7" s="18" t="s">
        <v>449</v>
      </c>
      <c r="G7" s="17"/>
      <c r="H7" s="17" t="s">
        <v>4</v>
      </c>
    </row>
    <row r="8" spans="1:8" ht="30" customHeight="1" x14ac:dyDescent="0.3">
      <c r="A8" s="17" t="s">
        <v>73</v>
      </c>
      <c r="B8" s="17" t="s">
        <v>34</v>
      </c>
      <c r="C8" s="18" t="s">
        <v>71</v>
      </c>
      <c r="D8" s="18" t="s">
        <v>660</v>
      </c>
      <c r="E8" s="17" t="s">
        <v>22</v>
      </c>
      <c r="F8" s="18" t="s">
        <v>449</v>
      </c>
      <c r="G8" s="17"/>
      <c r="H8" s="17" t="s">
        <v>4</v>
      </c>
    </row>
    <row r="9" spans="1:8" ht="30" customHeight="1" x14ac:dyDescent="0.3">
      <c r="A9" s="17" t="s">
        <v>79</v>
      </c>
      <c r="B9" s="17" t="s">
        <v>34</v>
      </c>
      <c r="C9" s="18" t="s">
        <v>77</v>
      </c>
      <c r="D9" s="18" t="s">
        <v>661</v>
      </c>
      <c r="E9" s="17" t="s">
        <v>22</v>
      </c>
      <c r="F9" s="18" t="s">
        <v>449</v>
      </c>
      <c r="G9" s="17"/>
      <c r="H9" s="17" t="s">
        <v>4</v>
      </c>
    </row>
    <row r="10" spans="1:8" ht="30" customHeight="1" x14ac:dyDescent="0.3">
      <c r="A10" s="17" t="s">
        <v>86</v>
      </c>
      <c r="B10" s="17" t="s">
        <v>83</v>
      </c>
      <c r="C10" s="18" t="s">
        <v>84</v>
      </c>
      <c r="D10" s="18" t="s">
        <v>662</v>
      </c>
      <c r="E10" s="17" t="s">
        <v>21</v>
      </c>
      <c r="F10" s="18" t="s">
        <v>449</v>
      </c>
      <c r="G10" s="17"/>
      <c r="H10" s="17" t="s">
        <v>3</v>
      </c>
    </row>
    <row r="11" spans="1:8" ht="30" customHeight="1" x14ac:dyDescent="0.3">
      <c r="A11" s="17" t="s">
        <v>92</v>
      </c>
      <c r="B11" s="17" t="s">
        <v>83</v>
      </c>
      <c r="C11" s="18" t="s">
        <v>90</v>
      </c>
      <c r="D11" s="18" t="s">
        <v>663</v>
      </c>
      <c r="E11" s="17" t="s">
        <v>22</v>
      </c>
      <c r="F11" s="18" t="s">
        <v>449</v>
      </c>
      <c r="G11" s="17"/>
      <c r="H11" s="17" t="s">
        <v>3</v>
      </c>
    </row>
    <row r="12" spans="1:8" ht="30" customHeight="1" x14ac:dyDescent="0.3">
      <c r="A12" s="17" t="s">
        <v>98</v>
      </c>
      <c r="B12" s="17" t="s">
        <v>83</v>
      </c>
      <c r="C12" s="18" t="s">
        <v>96</v>
      </c>
      <c r="D12" s="18" t="s">
        <v>664</v>
      </c>
      <c r="E12" s="17" t="s">
        <v>22</v>
      </c>
      <c r="F12" s="18" t="s">
        <v>449</v>
      </c>
      <c r="G12" s="17"/>
      <c r="H12" s="17" t="s">
        <v>3</v>
      </c>
    </row>
    <row r="13" spans="1:8" ht="30" customHeight="1" x14ac:dyDescent="0.3">
      <c r="A13" s="17" t="s">
        <v>104</v>
      </c>
      <c r="B13" s="17" t="s">
        <v>83</v>
      </c>
      <c r="C13" s="18" t="s">
        <v>102</v>
      </c>
      <c r="D13" s="18" t="s">
        <v>665</v>
      </c>
      <c r="E13" s="17" t="s">
        <v>22</v>
      </c>
      <c r="F13" s="18" t="s">
        <v>449</v>
      </c>
      <c r="G13" s="17"/>
      <c r="H13" s="17" t="s">
        <v>3</v>
      </c>
    </row>
    <row r="14" spans="1:8" ht="30" customHeight="1" x14ac:dyDescent="0.3">
      <c r="A14" s="17" t="s">
        <v>110</v>
      </c>
      <c r="B14" s="17" t="s">
        <v>83</v>
      </c>
      <c r="C14" s="18" t="s">
        <v>108</v>
      </c>
      <c r="D14" s="18" t="s">
        <v>666</v>
      </c>
      <c r="E14" s="17" t="s">
        <v>22</v>
      </c>
      <c r="F14" s="18" t="s">
        <v>449</v>
      </c>
      <c r="G14" s="17"/>
      <c r="H14" s="17" t="s">
        <v>3</v>
      </c>
    </row>
    <row r="15" spans="1:8" ht="30" customHeight="1" x14ac:dyDescent="0.3">
      <c r="A15" s="17" t="s">
        <v>116</v>
      </c>
      <c r="B15" s="17" t="s">
        <v>83</v>
      </c>
      <c r="C15" s="18" t="s">
        <v>114</v>
      </c>
      <c r="D15" s="18" t="s">
        <v>667</v>
      </c>
      <c r="E15" s="17" t="s">
        <v>22</v>
      </c>
      <c r="F15" s="18" t="s">
        <v>449</v>
      </c>
      <c r="G15" s="17"/>
      <c r="H15" s="17" t="s">
        <v>3</v>
      </c>
    </row>
    <row r="16" spans="1:8" ht="30" customHeight="1" x14ac:dyDescent="0.3">
      <c r="A16" s="17" t="s">
        <v>122</v>
      </c>
      <c r="B16" s="17" t="s">
        <v>83</v>
      </c>
      <c r="C16" s="18" t="s">
        <v>120</v>
      </c>
      <c r="D16" s="18" t="s">
        <v>668</v>
      </c>
      <c r="E16" s="17" t="s">
        <v>22</v>
      </c>
      <c r="F16" s="18" t="s">
        <v>449</v>
      </c>
      <c r="G16" s="17"/>
      <c r="H16" s="17" t="s">
        <v>3</v>
      </c>
    </row>
    <row r="17" spans="1:8" ht="30" customHeight="1" x14ac:dyDescent="0.3">
      <c r="A17" s="17" t="s">
        <v>129</v>
      </c>
      <c r="B17" s="17" t="s">
        <v>126</v>
      </c>
      <c r="C17" s="18" t="s">
        <v>127</v>
      </c>
      <c r="D17" s="18" t="s">
        <v>669</v>
      </c>
      <c r="E17" s="17" t="s">
        <v>21</v>
      </c>
      <c r="F17" s="18" t="s">
        <v>449</v>
      </c>
      <c r="G17" s="17"/>
      <c r="H17" s="17" t="s">
        <v>3</v>
      </c>
    </row>
    <row r="18" spans="1:8" ht="30" customHeight="1" x14ac:dyDescent="0.3">
      <c r="A18" s="17" t="s">
        <v>135</v>
      </c>
      <c r="B18" s="17" t="s">
        <v>126</v>
      </c>
      <c r="C18" s="18" t="s">
        <v>133</v>
      </c>
      <c r="D18" s="18" t="s">
        <v>670</v>
      </c>
      <c r="E18" s="17" t="s">
        <v>22</v>
      </c>
      <c r="F18" s="18" t="s">
        <v>449</v>
      </c>
      <c r="G18" s="17"/>
      <c r="H18" s="17" t="s">
        <v>3</v>
      </c>
    </row>
    <row r="19" spans="1:8" ht="30" customHeight="1" x14ac:dyDescent="0.3">
      <c r="A19" s="17" t="s">
        <v>141</v>
      </c>
      <c r="B19" s="17" t="s">
        <v>126</v>
      </c>
      <c r="C19" s="18" t="s">
        <v>139</v>
      </c>
      <c r="D19" s="18" t="s">
        <v>671</v>
      </c>
      <c r="E19" s="17" t="s">
        <v>22</v>
      </c>
      <c r="F19" s="18" t="s">
        <v>449</v>
      </c>
      <c r="G19" s="17"/>
      <c r="H19" s="17" t="s">
        <v>3</v>
      </c>
    </row>
    <row r="20" spans="1:8" ht="30" customHeight="1" x14ac:dyDescent="0.3">
      <c r="A20" s="17" t="s">
        <v>147</v>
      </c>
      <c r="B20" s="17" t="s">
        <v>126</v>
      </c>
      <c r="C20" s="18" t="s">
        <v>145</v>
      </c>
      <c r="D20" s="18" t="s">
        <v>672</v>
      </c>
      <c r="E20" s="17" t="s">
        <v>21</v>
      </c>
      <c r="F20" s="18" t="s">
        <v>449</v>
      </c>
      <c r="G20" s="17"/>
      <c r="H20" s="17" t="s">
        <v>3</v>
      </c>
    </row>
    <row r="21" spans="1:8" ht="30" customHeight="1" x14ac:dyDescent="0.3">
      <c r="A21" s="17" t="s">
        <v>153</v>
      </c>
      <c r="B21" s="17" t="s">
        <v>126</v>
      </c>
      <c r="C21" s="18" t="s">
        <v>151</v>
      </c>
      <c r="D21" s="18" t="s">
        <v>673</v>
      </c>
      <c r="E21" s="17" t="s">
        <v>22</v>
      </c>
      <c r="F21" s="18" t="s">
        <v>449</v>
      </c>
      <c r="G21" s="17"/>
      <c r="H21" s="17" t="s">
        <v>3</v>
      </c>
    </row>
    <row r="22" spans="1:8" ht="30" customHeight="1" x14ac:dyDescent="0.3">
      <c r="A22" s="17" t="s">
        <v>159</v>
      </c>
      <c r="B22" s="17" t="s">
        <v>126</v>
      </c>
      <c r="C22" s="18" t="s">
        <v>157</v>
      </c>
      <c r="D22" s="18" t="s">
        <v>674</v>
      </c>
      <c r="E22" s="17" t="s">
        <v>22</v>
      </c>
      <c r="F22" s="18" t="s">
        <v>449</v>
      </c>
      <c r="G22" s="17"/>
      <c r="H22" s="17" t="s">
        <v>3</v>
      </c>
    </row>
    <row r="23" spans="1:8" ht="30" customHeight="1" x14ac:dyDescent="0.3">
      <c r="A23" s="17" t="s">
        <v>165</v>
      </c>
      <c r="B23" s="17" t="s">
        <v>126</v>
      </c>
      <c r="C23" s="18" t="s">
        <v>163</v>
      </c>
      <c r="D23" s="18" t="s">
        <v>675</v>
      </c>
      <c r="E23" s="17" t="s">
        <v>22</v>
      </c>
      <c r="F23" s="18" t="s">
        <v>449</v>
      </c>
      <c r="G23" s="17"/>
      <c r="H23" s="17" t="s">
        <v>3</v>
      </c>
    </row>
    <row r="24" spans="1:8" ht="30" customHeight="1" x14ac:dyDescent="0.3">
      <c r="A24" s="17" t="s">
        <v>171</v>
      </c>
      <c r="B24" s="17" t="s">
        <v>126</v>
      </c>
      <c r="C24" s="18" t="s">
        <v>169</v>
      </c>
      <c r="D24" s="18" t="s">
        <v>676</v>
      </c>
      <c r="E24" s="17" t="s">
        <v>22</v>
      </c>
      <c r="F24" s="18" t="s">
        <v>449</v>
      </c>
      <c r="G24" s="17"/>
      <c r="H24" s="17" t="s">
        <v>3</v>
      </c>
    </row>
    <row r="25" spans="1:8" ht="30" customHeight="1" x14ac:dyDescent="0.3">
      <c r="A25" s="17" t="s">
        <v>178</v>
      </c>
      <c r="B25" s="17" t="s">
        <v>175</v>
      </c>
      <c r="C25" s="18" t="s">
        <v>176</v>
      </c>
      <c r="D25" s="18" t="s">
        <v>677</v>
      </c>
      <c r="E25" s="17" t="s">
        <v>21</v>
      </c>
      <c r="F25" s="18" t="s">
        <v>449</v>
      </c>
      <c r="G25" s="17"/>
      <c r="H25" s="17" t="s">
        <v>3</v>
      </c>
    </row>
    <row r="26" spans="1:8" ht="30" customHeight="1" x14ac:dyDescent="0.3">
      <c r="A26" s="17" t="s">
        <v>184</v>
      </c>
      <c r="B26" s="17" t="s">
        <v>175</v>
      </c>
      <c r="C26" s="18" t="s">
        <v>182</v>
      </c>
      <c r="D26" s="18" t="s">
        <v>678</v>
      </c>
      <c r="E26" s="17" t="s">
        <v>21</v>
      </c>
      <c r="F26" s="18" t="s">
        <v>449</v>
      </c>
      <c r="G26" s="17"/>
      <c r="H26" s="17" t="s">
        <v>3</v>
      </c>
    </row>
    <row r="27" spans="1:8" ht="30" customHeight="1" x14ac:dyDescent="0.3">
      <c r="A27" s="17" t="s">
        <v>190</v>
      </c>
      <c r="B27" s="17" t="s">
        <v>175</v>
      </c>
      <c r="C27" s="18" t="s">
        <v>188</v>
      </c>
      <c r="D27" s="18" t="s">
        <v>679</v>
      </c>
      <c r="E27" s="17" t="s">
        <v>22</v>
      </c>
      <c r="F27" s="18" t="s">
        <v>449</v>
      </c>
      <c r="G27" s="17"/>
      <c r="H27" s="17" t="s">
        <v>3</v>
      </c>
    </row>
    <row r="28" spans="1:8" ht="30" customHeight="1" x14ac:dyDescent="0.3">
      <c r="A28" s="17" t="s">
        <v>196</v>
      </c>
      <c r="B28" s="17" t="s">
        <v>175</v>
      </c>
      <c r="C28" s="18" t="s">
        <v>194</v>
      </c>
      <c r="D28" s="18" t="s">
        <v>680</v>
      </c>
      <c r="E28" s="17" t="s">
        <v>22</v>
      </c>
      <c r="F28" s="18" t="s">
        <v>449</v>
      </c>
      <c r="G28" s="17"/>
      <c r="H28" s="17" t="s">
        <v>3</v>
      </c>
    </row>
    <row r="29" spans="1:8" ht="30" customHeight="1" x14ac:dyDescent="0.3">
      <c r="A29" s="17" t="s">
        <v>202</v>
      </c>
      <c r="B29" s="17" t="s">
        <v>175</v>
      </c>
      <c r="C29" s="18" t="s">
        <v>200</v>
      </c>
      <c r="D29" s="18" t="s">
        <v>681</v>
      </c>
      <c r="E29" s="17" t="s">
        <v>22</v>
      </c>
      <c r="F29" s="18" t="s">
        <v>449</v>
      </c>
      <c r="G29" s="17"/>
      <c r="H29" s="17" t="s">
        <v>3</v>
      </c>
    </row>
    <row r="30" spans="1:8" ht="30" customHeight="1" x14ac:dyDescent="0.3">
      <c r="A30" s="17" t="s">
        <v>208</v>
      </c>
      <c r="B30" s="17" t="s">
        <v>175</v>
      </c>
      <c r="C30" s="18" t="s">
        <v>206</v>
      </c>
      <c r="D30" s="18" t="s">
        <v>682</v>
      </c>
      <c r="E30" s="17" t="s">
        <v>22</v>
      </c>
      <c r="F30" s="18" t="s">
        <v>449</v>
      </c>
      <c r="G30" s="17"/>
      <c r="H30" s="17" t="s">
        <v>3</v>
      </c>
    </row>
    <row r="31" spans="1:8" ht="30" customHeight="1" x14ac:dyDescent="0.3">
      <c r="A31" s="17" t="s">
        <v>214</v>
      </c>
      <c r="B31" s="17" t="s">
        <v>175</v>
      </c>
      <c r="C31" s="18" t="s">
        <v>212</v>
      </c>
      <c r="D31" s="18" t="s">
        <v>683</v>
      </c>
      <c r="E31" s="17" t="s">
        <v>22</v>
      </c>
      <c r="F31" s="18" t="s">
        <v>449</v>
      </c>
      <c r="G31" s="17"/>
      <c r="H31" s="17" t="s">
        <v>3</v>
      </c>
    </row>
    <row r="32" spans="1:8" ht="30" customHeight="1" x14ac:dyDescent="0.3">
      <c r="A32" s="17" t="s">
        <v>221</v>
      </c>
      <c r="B32" s="17" t="s">
        <v>218</v>
      </c>
      <c r="C32" s="18" t="s">
        <v>219</v>
      </c>
      <c r="D32" s="18" t="s">
        <v>684</v>
      </c>
      <c r="E32" s="17" t="s">
        <v>21</v>
      </c>
      <c r="F32" s="18" t="s">
        <v>449</v>
      </c>
      <c r="G32" s="17"/>
      <c r="H32" s="17" t="s">
        <v>3</v>
      </c>
    </row>
    <row r="33" spans="1:8" ht="30" customHeight="1" x14ac:dyDescent="0.3">
      <c r="A33" s="17" t="s">
        <v>227</v>
      </c>
      <c r="B33" s="17" t="s">
        <v>218</v>
      </c>
      <c r="C33" s="18" t="s">
        <v>225</v>
      </c>
      <c r="D33" s="18" t="s">
        <v>685</v>
      </c>
      <c r="E33" s="17" t="s">
        <v>22</v>
      </c>
      <c r="F33" s="18" t="s">
        <v>449</v>
      </c>
      <c r="G33" s="17"/>
      <c r="H33" s="17" t="s">
        <v>3</v>
      </c>
    </row>
    <row r="34" spans="1:8" ht="30" customHeight="1" x14ac:dyDescent="0.3">
      <c r="A34" s="17" t="s">
        <v>233</v>
      </c>
      <c r="B34" s="17" t="s">
        <v>218</v>
      </c>
      <c r="C34" s="18" t="s">
        <v>231</v>
      </c>
      <c r="D34" s="18" t="s">
        <v>686</v>
      </c>
      <c r="E34" s="17" t="s">
        <v>22</v>
      </c>
      <c r="F34" s="18" t="s">
        <v>449</v>
      </c>
      <c r="G34" s="17"/>
      <c r="H34" s="17" t="s">
        <v>3</v>
      </c>
    </row>
    <row r="35" spans="1:8" ht="30" customHeight="1" x14ac:dyDescent="0.3">
      <c r="A35" s="17" t="s">
        <v>239</v>
      </c>
      <c r="B35" s="17" t="s">
        <v>218</v>
      </c>
      <c r="C35" s="18" t="s">
        <v>237</v>
      </c>
      <c r="D35" s="18" t="s">
        <v>687</v>
      </c>
      <c r="E35" s="17" t="s">
        <v>22</v>
      </c>
      <c r="F35" s="18" t="s">
        <v>449</v>
      </c>
      <c r="G35" s="17"/>
      <c r="H35" s="17" t="s">
        <v>3</v>
      </c>
    </row>
    <row r="36" spans="1:8" ht="30" customHeight="1" x14ac:dyDescent="0.3">
      <c r="A36" s="17" t="s">
        <v>245</v>
      </c>
      <c r="B36" s="17" t="s">
        <v>218</v>
      </c>
      <c r="C36" s="18" t="s">
        <v>243</v>
      </c>
      <c r="D36" s="18" t="s">
        <v>688</v>
      </c>
      <c r="E36" s="17" t="s">
        <v>22</v>
      </c>
      <c r="F36" s="18" t="s">
        <v>449</v>
      </c>
      <c r="G36" s="17"/>
      <c r="H36" s="17" t="s">
        <v>3</v>
      </c>
    </row>
    <row r="37" spans="1:8" ht="30" customHeight="1" x14ac:dyDescent="0.3">
      <c r="A37" s="17" t="s">
        <v>251</v>
      </c>
      <c r="B37" s="17" t="s">
        <v>218</v>
      </c>
      <c r="C37" s="18" t="s">
        <v>249</v>
      </c>
      <c r="D37" s="18" t="s">
        <v>689</v>
      </c>
      <c r="E37" s="17" t="s">
        <v>22</v>
      </c>
      <c r="F37" s="18" t="s">
        <v>449</v>
      </c>
      <c r="G37" s="17"/>
      <c r="H37" s="17" t="s">
        <v>3</v>
      </c>
    </row>
    <row r="38" spans="1:8" ht="30" customHeight="1" x14ac:dyDescent="0.3">
      <c r="A38" s="17" t="s">
        <v>258</v>
      </c>
      <c r="B38" s="17" t="s">
        <v>255</v>
      </c>
      <c r="C38" s="18" t="s">
        <v>256</v>
      </c>
      <c r="D38" s="18" t="s">
        <v>690</v>
      </c>
      <c r="E38" s="17" t="s">
        <v>22</v>
      </c>
      <c r="F38" s="18" t="s">
        <v>449</v>
      </c>
      <c r="G38" s="17"/>
      <c r="H38" s="17" t="s">
        <v>3</v>
      </c>
    </row>
    <row r="39" spans="1:8" ht="30" customHeight="1" x14ac:dyDescent="0.3">
      <c r="A39" s="17" t="s">
        <v>264</v>
      </c>
      <c r="B39" s="17" t="s">
        <v>255</v>
      </c>
      <c r="C39" s="18" t="s">
        <v>262</v>
      </c>
      <c r="D39" s="18" t="s">
        <v>691</v>
      </c>
      <c r="E39" s="17" t="s">
        <v>22</v>
      </c>
      <c r="F39" s="18" t="s">
        <v>449</v>
      </c>
      <c r="G39" s="17"/>
      <c r="H39" s="17" t="s">
        <v>3</v>
      </c>
    </row>
    <row r="40" spans="1:8" ht="30" customHeight="1" x14ac:dyDescent="0.3">
      <c r="A40" s="17" t="s">
        <v>270</v>
      </c>
      <c r="B40" s="17" t="s">
        <v>255</v>
      </c>
      <c r="C40" s="18" t="s">
        <v>268</v>
      </c>
      <c r="D40" s="18" t="s">
        <v>692</v>
      </c>
      <c r="E40" s="17" t="s">
        <v>22</v>
      </c>
      <c r="F40" s="18" t="s">
        <v>449</v>
      </c>
      <c r="G40" s="17"/>
      <c r="H40" s="17" t="s">
        <v>3</v>
      </c>
    </row>
    <row r="41" spans="1:8" ht="30" customHeight="1" x14ac:dyDescent="0.3">
      <c r="A41" s="17" t="s">
        <v>277</v>
      </c>
      <c r="B41" s="17" t="s">
        <v>274</v>
      </c>
      <c r="C41" s="18" t="s">
        <v>275</v>
      </c>
      <c r="D41" s="18" t="s">
        <v>693</v>
      </c>
      <c r="E41" s="17" t="s">
        <v>22</v>
      </c>
      <c r="F41" s="18" t="s">
        <v>449</v>
      </c>
      <c r="G41" s="17"/>
      <c r="H41" s="17" t="s">
        <v>3</v>
      </c>
    </row>
    <row r="42" spans="1:8" ht="30" customHeight="1" x14ac:dyDescent="0.3">
      <c r="A42" s="17" t="s">
        <v>283</v>
      </c>
      <c r="B42" s="17" t="s">
        <v>274</v>
      </c>
      <c r="C42" s="18" t="s">
        <v>281</v>
      </c>
      <c r="D42" s="18" t="s">
        <v>694</v>
      </c>
      <c r="E42" s="17" t="s">
        <v>23</v>
      </c>
      <c r="F42" s="18" t="s">
        <v>449</v>
      </c>
      <c r="G42" s="17"/>
      <c r="H42" s="17" t="s">
        <v>3</v>
      </c>
    </row>
    <row r="43" spans="1:8" ht="30" customHeight="1" x14ac:dyDescent="0.3">
      <c r="A43" s="17" t="s">
        <v>289</v>
      </c>
      <c r="B43" s="17" t="s">
        <v>274</v>
      </c>
      <c r="C43" s="18" t="s">
        <v>287</v>
      </c>
      <c r="D43" s="18" t="s">
        <v>695</v>
      </c>
      <c r="E43" s="17" t="s">
        <v>23</v>
      </c>
      <c r="F43" s="18" t="s">
        <v>449</v>
      </c>
      <c r="G43" s="17"/>
      <c r="H43" s="17" t="s">
        <v>3</v>
      </c>
    </row>
    <row r="44" spans="1:8" ht="30" customHeight="1" x14ac:dyDescent="0.3">
      <c r="A44" s="17" t="s">
        <v>295</v>
      </c>
      <c r="B44" s="17" t="s">
        <v>274</v>
      </c>
      <c r="C44" s="18" t="s">
        <v>293</v>
      </c>
      <c r="D44" s="18" t="s">
        <v>696</v>
      </c>
      <c r="E44" s="17" t="s">
        <v>23</v>
      </c>
      <c r="F44" s="18" t="s">
        <v>449</v>
      </c>
      <c r="G44" s="17"/>
      <c r="H44" s="17" t="s">
        <v>3</v>
      </c>
    </row>
    <row r="45" spans="1:8" ht="30" customHeight="1" x14ac:dyDescent="0.3">
      <c r="A45" s="17" t="s">
        <v>301</v>
      </c>
      <c r="B45" s="17" t="s">
        <v>274</v>
      </c>
      <c r="C45" s="18" t="s">
        <v>299</v>
      </c>
      <c r="D45" s="18" t="s">
        <v>697</v>
      </c>
      <c r="E45" s="17" t="s">
        <v>23</v>
      </c>
      <c r="F45" s="18" t="s">
        <v>449</v>
      </c>
      <c r="G45" s="17"/>
      <c r="H45" s="17" t="s">
        <v>3</v>
      </c>
    </row>
    <row r="46" spans="1:8" ht="30" customHeight="1" x14ac:dyDescent="0.3">
      <c r="A46" s="17" t="s">
        <v>307</v>
      </c>
      <c r="B46" s="17" t="s">
        <v>274</v>
      </c>
      <c r="C46" s="18" t="s">
        <v>305</v>
      </c>
      <c r="D46" s="18" t="s">
        <v>698</v>
      </c>
      <c r="E46" s="17" t="s">
        <v>23</v>
      </c>
      <c r="F46" s="18" t="s">
        <v>449</v>
      </c>
      <c r="G46" s="17"/>
      <c r="H46" s="17" t="s">
        <v>3</v>
      </c>
    </row>
    <row r="47" spans="1:8" ht="30" customHeight="1" x14ac:dyDescent="0.3">
      <c r="A47" s="17" t="s">
        <v>313</v>
      </c>
      <c r="B47" s="17" t="s">
        <v>274</v>
      </c>
      <c r="C47" s="18" t="s">
        <v>311</v>
      </c>
      <c r="D47" s="18" t="s">
        <v>699</v>
      </c>
      <c r="E47" s="17" t="s">
        <v>23</v>
      </c>
      <c r="F47" s="18" t="s">
        <v>449</v>
      </c>
      <c r="G47" s="17"/>
      <c r="H47" s="17" t="s">
        <v>3</v>
      </c>
    </row>
    <row r="48" spans="1:8" ht="30" customHeight="1" x14ac:dyDescent="0.3">
      <c r="A48" s="17" t="s">
        <v>700</v>
      </c>
      <c r="B48" s="17" t="s">
        <v>34</v>
      </c>
      <c r="C48" s="18" t="s">
        <v>53</v>
      </c>
      <c r="D48" s="18" t="s">
        <v>701</v>
      </c>
      <c r="E48" s="17" t="s">
        <v>22</v>
      </c>
      <c r="F48" s="18" t="s">
        <v>55</v>
      </c>
      <c r="G48" s="17"/>
      <c r="H48" s="17" t="s">
        <v>3</v>
      </c>
    </row>
    <row r="49" spans="1:8" ht="30" customHeight="1" x14ac:dyDescent="0.3">
      <c r="A49" s="17" t="s">
        <v>702</v>
      </c>
      <c r="B49" s="17" t="s">
        <v>34</v>
      </c>
      <c r="C49" s="18" t="s">
        <v>59</v>
      </c>
      <c r="D49" s="18" t="s">
        <v>703</v>
      </c>
      <c r="E49" s="17" t="s">
        <v>22</v>
      </c>
      <c r="F49" s="18" t="s">
        <v>61</v>
      </c>
      <c r="G49" s="17"/>
      <c r="H49" s="17" t="s">
        <v>3</v>
      </c>
    </row>
    <row r="50" spans="1:8" ht="30" customHeight="1" x14ac:dyDescent="0.3">
      <c r="A50" s="17" t="s">
        <v>704</v>
      </c>
      <c r="B50" s="17" t="s">
        <v>83</v>
      </c>
      <c r="C50" s="18" t="s">
        <v>120</v>
      </c>
      <c r="D50" s="18" t="s">
        <v>705</v>
      </c>
      <c r="E50" s="17" t="s">
        <v>22</v>
      </c>
      <c r="F50" s="18" t="s">
        <v>122</v>
      </c>
      <c r="G50" s="17"/>
      <c r="H50" s="17" t="s">
        <v>3</v>
      </c>
    </row>
    <row r="51" spans="1:8" ht="30" customHeight="1" x14ac:dyDescent="0.3">
      <c r="A51" s="17" t="s">
        <v>706</v>
      </c>
      <c r="B51" s="17" t="s">
        <v>175</v>
      </c>
      <c r="C51" s="18" t="s">
        <v>206</v>
      </c>
      <c r="D51" s="18" t="s">
        <v>707</v>
      </c>
      <c r="E51" s="17" t="s">
        <v>22</v>
      </c>
      <c r="F51" s="18" t="s">
        <v>208</v>
      </c>
      <c r="G51" s="17"/>
      <c r="H51" s="17" t="s">
        <v>3</v>
      </c>
    </row>
    <row r="52" spans="1:8" ht="30" customHeight="1" x14ac:dyDescent="0.3">
      <c r="A52" s="17" t="s">
        <v>708</v>
      </c>
      <c r="B52" s="17" t="s">
        <v>175</v>
      </c>
      <c r="C52" s="18" t="s">
        <v>212</v>
      </c>
      <c r="D52" s="18" t="s">
        <v>709</v>
      </c>
      <c r="E52" s="17" t="s">
        <v>22</v>
      </c>
      <c r="F52" s="18" t="s">
        <v>214</v>
      </c>
      <c r="G52" s="17"/>
      <c r="H52" s="17" t="s">
        <v>3</v>
      </c>
    </row>
    <row r="53" spans="1:8" ht="30" customHeight="1" x14ac:dyDescent="0.3">
      <c r="A53" s="17" t="s">
        <v>710</v>
      </c>
      <c r="B53" s="17" t="s">
        <v>218</v>
      </c>
      <c r="C53" s="18" t="s">
        <v>219</v>
      </c>
      <c r="D53" s="18" t="s">
        <v>711</v>
      </c>
      <c r="E53" s="17" t="s">
        <v>22</v>
      </c>
      <c r="F53" s="18" t="s">
        <v>221</v>
      </c>
      <c r="G53" s="17"/>
      <c r="H53" s="17" t="s">
        <v>3</v>
      </c>
    </row>
    <row r="54" spans="1:8" ht="30" customHeight="1" x14ac:dyDescent="0.3">
      <c r="A54" s="17" t="s">
        <v>712</v>
      </c>
      <c r="B54" s="17" t="s">
        <v>446</v>
      </c>
      <c r="C54" s="18" t="s">
        <v>713</v>
      </c>
      <c r="D54" s="18" t="s">
        <v>714</v>
      </c>
      <c r="E54" s="17" t="s">
        <v>21</v>
      </c>
      <c r="F54" s="18" t="s">
        <v>449</v>
      </c>
      <c r="G54" s="17"/>
      <c r="H54" s="17" t="s">
        <v>3</v>
      </c>
    </row>
    <row r="55" spans="1:8" ht="30" customHeight="1" x14ac:dyDescent="0.3">
      <c r="A55" s="17" t="s">
        <v>715</v>
      </c>
      <c r="B55" s="17" t="s">
        <v>446</v>
      </c>
      <c r="C55" s="18" t="s">
        <v>716</v>
      </c>
      <c r="D55" s="18" t="s">
        <v>717</v>
      </c>
      <c r="E55" s="17" t="s">
        <v>23</v>
      </c>
      <c r="F55" s="18" t="s">
        <v>449</v>
      </c>
      <c r="G55" s="17"/>
      <c r="H55" s="17" t="s">
        <v>3</v>
      </c>
    </row>
    <row r="56" spans="1:8" ht="30" customHeight="1" x14ac:dyDescent="0.3">
      <c r="A56" s="17" t="s">
        <v>718</v>
      </c>
      <c r="B56" s="17" t="s">
        <v>274</v>
      </c>
      <c r="C56" s="18" t="s">
        <v>719</v>
      </c>
      <c r="D56" s="18" t="s">
        <v>720</v>
      </c>
      <c r="E56" s="17" t="s">
        <v>21</v>
      </c>
      <c r="F56" s="18" t="s">
        <v>43</v>
      </c>
      <c r="G56" s="17"/>
      <c r="H56" s="17" t="s">
        <v>3</v>
      </c>
    </row>
    <row r="57" spans="1:8" ht="30" customHeight="1" x14ac:dyDescent="0.3">
      <c r="A57" s="17" t="s">
        <v>721</v>
      </c>
      <c r="B57" s="17" t="s">
        <v>274</v>
      </c>
      <c r="C57" s="18" t="s">
        <v>719</v>
      </c>
      <c r="D57" s="18" t="s">
        <v>722</v>
      </c>
      <c r="E57" s="17" t="s">
        <v>22</v>
      </c>
      <c r="F57" s="18" t="s">
        <v>301</v>
      </c>
      <c r="G57" s="17"/>
      <c r="H57" s="17" t="s">
        <v>3</v>
      </c>
    </row>
    <row r="58" spans="1:8" ht="30" customHeight="1" x14ac:dyDescent="0.3">
      <c r="A58" s="17" t="s">
        <v>723</v>
      </c>
      <c r="B58" s="17" t="s">
        <v>274</v>
      </c>
      <c r="C58" s="18" t="s">
        <v>719</v>
      </c>
      <c r="D58" s="18" t="s">
        <v>724</v>
      </c>
      <c r="E58" s="17" t="s">
        <v>22</v>
      </c>
      <c r="F58" s="18" t="s">
        <v>307</v>
      </c>
      <c r="G58" s="17"/>
      <c r="H58" s="17" t="s">
        <v>3</v>
      </c>
    </row>
    <row r="59" spans="1:8" ht="30" customHeight="1" x14ac:dyDescent="0.3">
      <c r="A59" s="17" t="s">
        <v>725</v>
      </c>
      <c r="B59" s="17" t="s">
        <v>446</v>
      </c>
      <c r="C59" s="18" t="s">
        <v>726</v>
      </c>
      <c r="D59" s="18" t="s">
        <v>727</v>
      </c>
      <c r="E59" s="17" t="s">
        <v>24</v>
      </c>
      <c r="F59" s="18" t="s">
        <v>449</v>
      </c>
      <c r="G59" s="17"/>
      <c r="H59" s="17" t="s">
        <v>3</v>
      </c>
    </row>
  </sheetData>
  <conditionalFormatting sqref="E2:E59">
    <cfRule type="cellIs" dxfId="59" priority="2" operator="equal">
      <formula>"🟥 Critical"</formula>
    </cfRule>
    <cfRule type="cellIs" dxfId="58" priority="3" operator="equal">
      <formula>"🟧 High"</formula>
    </cfRule>
    <cfRule type="cellIs" dxfId="57" priority="4" operator="equal">
      <formula>"🟨 Medium"</formula>
    </cfRule>
    <cfRule type="cellIs" dxfId="56" priority="5" operator="equal">
      <formula>"🟩 Low"</formula>
    </cfRule>
  </conditionalFormatting>
  <conditionalFormatting sqref="H2:H59">
    <cfRule type="cellIs" dxfId="55" priority="6" operator="equal">
      <formula>"⬜ Not Started"</formula>
    </cfRule>
    <cfRule type="cellIs" dxfId="54" priority="7" operator="equal">
      <formula>"🟦 In Progress"</formula>
    </cfRule>
    <cfRule type="cellIs" dxfId="53" priority="8" operator="equal">
      <formula>"🟨 Testing"</formula>
    </cfRule>
    <cfRule type="cellIs" dxfId="52" priority="9" operator="equal">
      <formula>"🟪 Review"</formula>
    </cfRule>
    <cfRule type="cellIs" dxfId="51" priority="10" operator="equal">
      <formula>"🟩 Complete"</formula>
    </cfRule>
    <cfRule type="cellIs" dxfId="50" priority="11" operator="equal">
      <formula>"🔴 Blocked"</formula>
    </cfRule>
  </conditionalFormatting>
  <dataValidations count="2">
    <dataValidation type="list" sqref="E2:E59" xr:uid="{00000000-0002-0000-0300-000000000000}">
      <formula1>"🟥 Critical,🟧 High,🟨 Medium,🟩 Low"</formula1>
      <formula2>0</formula2>
    </dataValidation>
    <dataValidation type="list" sqref="H2:H59" xr:uid="{00000000-0002-0000-0300-000001000000}">
      <formula1>"⬜ Not Started,🟦 In Progress,🟨 Testing,🟪 Review,🟩 Complete,🔴 Blocked"</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0"/>
  <sheetViews>
    <sheetView zoomScaleNormal="100" workbookViewId="0">
      <pane ySplit="1" topLeftCell="A87" activePane="bottomLeft" state="frozen"/>
      <selection pane="bottomLeft" activeCell="H10" sqref="H10"/>
    </sheetView>
  </sheetViews>
  <sheetFormatPr defaultColWidth="8.6640625" defaultRowHeight="14.4" x14ac:dyDescent="0.3"/>
  <cols>
    <col min="1" max="1" width="10" customWidth="1"/>
    <col min="2" max="2" width="22" customWidth="1"/>
    <col min="3" max="3" width="24" customWidth="1"/>
    <col min="4" max="4" width="52" customWidth="1"/>
    <col min="5" max="5" width="14" customWidth="1"/>
    <col min="6" max="6" width="20" customWidth="1"/>
    <col min="7" max="7" width="14" customWidth="1"/>
    <col min="8" max="8" width="16" customWidth="1"/>
  </cols>
  <sheetData>
    <row r="1" spans="1:8" ht="30" customHeight="1" x14ac:dyDescent="0.3">
      <c r="A1" s="3" t="s">
        <v>25</v>
      </c>
      <c r="B1" s="3" t="s">
        <v>26</v>
      </c>
      <c r="C1" s="3" t="s">
        <v>27</v>
      </c>
      <c r="D1" s="3" t="s">
        <v>28</v>
      </c>
      <c r="E1" s="3" t="s">
        <v>29</v>
      </c>
      <c r="F1" s="3" t="s">
        <v>30</v>
      </c>
      <c r="G1" s="3" t="s">
        <v>31</v>
      </c>
      <c r="H1" s="3" t="s">
        <v>32</v>
      </c>
    </row>
    <row r="2" spans="1:8" ht="30" customHeight="1" x14ac:dyDescent="0.3">
      <c r="A2" s="17" t="s">
        <v>728</v>
      </c>
      <c r="B2" s="17" t="s">
        <v>34</v>
      </c>
      <c r="C2" s="18" t="s">
        <v>729</v>
      </c>
      <c r="D2" s="18" t="s">
        <v>730</v>
      </c>
      <c r="E2" s="17" t="s">
        <v>21</v>
      </c>
      <c r="F2" s="18" t="s">
        <v>37</v>
      </c>
      <c r="G2" s="17"/>
      <c r="H2" s="17" t="s">
        <v>4</v>
      </c>
    </row>
    <row r="3" spans="1:8" ht="30" customHeight="1" x14ac:dyDescent="0.3">
      <c r="A3" s="17" t="s">
        <v>731</v>
      </c>
      <c r="B3" s="17" t="s">
        <v>34</v>
      </c>
      <c r="C3" s="18" t="s">
        <v>729</v>
      </c>
      <c r="D3" s="18" t="s">
        <v>732</v>
      </c>
      <c r="E3" s="17" t="s">
        <v>21</v>
      </c>
      <c r="F3" s="18" t="s">
        <v>37</v>
      </c>
      <c r="G3" s="17"/>
      <c r="H3" s="17" t="s">
        <v>4</v>
      </c>
    </row>
    <row r="4" spans="1:8" ht="30" customHeight="1" x14ac:dyDescent="0.3">
      <c r="A4" s="17" t="s">
        <v>733</v>
      </c>
      <c r="B4" s="17" t="s">
        <v>34</v>
      </c>
      <c r="C4" s="18" t="s">
        <v>729</v>
      </c>
      <c r="D4" s="18" t="s">
        <v>734</v>
      </c>
      <c r="E4" s="17" t="s">
        <v>21</v>
      </c>
      <c r="F4" s="18" t="s">
        <v>37</v>
      </c>
      <c r="G4" s="17"/>
      <c r="H4" s="17" t="s">
        <v>4</v>
      </c>
    </row>
    <row r="5" spans="1:8" ht="30" customHeight="1" x14ac:dyDescent="0.3">
      <c r="A5" s="17" t="s">
        <v>735</v>
      </c>
      <c r="B5" s="17" t="s">
        <v>34</v>
      </c>
      <c r="C5" s="18" t="s">
        <v>729</v>
      </c>
      <c r="D5" s="18" t="s">
        <v>736</v>
      </c>
      <c r="E5" s="17" t="s">
        <v>21</v>
      </c>
      <c r="F5" s="18" t="s">
        <v>37</v>
      </c>
      <c r="G5" s="17"/>
      <c r="H5" s="17" t="s">
        <v>4</v>
      </c>
    </row>
    <row r="6" spans="1:8" ht="30" customHeight="1" x14ac:dyDescent="0.3">
      <c r="A6" s="17" t="s">
        <v>737</v>
      </c>
      <c r="B6" s="17" t="s">
        <v>34</v>
      </c>
      <c r="C6" s="18" t="s">
        <v>729</v>
      </c>
      <c r="D6" s="18" t="s">
        <v>738</v>
      </c>
      <c r="E6" s="17" t="s">
        <v>21</v>
      </c>
      <c r="F6" s="18" t="s">
        <v>37</v>
      </c>
      <c r="G6" s="17"/>
      <c r="H6" s="17" t="s">
        <v>4</v>
      </c>
    </row>
    <row r="7" spans="1:8" ht="30" customHeight="1" x14ac:dyDescent="0.3">
      <c r="A7" s="17" t="s">
        <v>739</v>
      </c>
      <c r="B7" s="17" t="s">
        <v>34</v>
      </c>
      <c r="C7" s="18" t="s">
        <v>729</v>
      </c>
      <c r="D7" s="18" t="s">
        <v>740</v>
      </c>
      <c r="E7" s="17" t="s">
        <v>21</v>
      </c>
      <c r="F7" s="18" t="s">
        <v>37</v>
      </c>
      <c r="G7" s="17"/>
      <c r="H7" s="17" t="s">
        <v>4</v>
      </c>
    </row>
    <row r="8" spans="1:8" ht="30" customHeight="1" x14ac:dyDescent="0.3">
      <c r="A8" s="17" t="s">
        <v>741</v>
      </c>
      <c r="B8" s="17" t="s">
        <v>34</v>
      </c>
      <c r="C8" s="18" t="s">
        <v>729</v>
      </c>
      <c r="D8" s="18" t="s">
        <v>742</v>
      </c>
      <c r="E8" s="17" t="s">
        <v>21</v>
      </c>
      <c r="F8" s="18" t="s">
        <v>37</v>
      </c>
      <c r="G8" s="17"/>
      <c r="H8" s="17" t="s">
        <v>4</v>
      </c>
    </row>
    <row r="9" spans="1:8" ht="30" customHeight="1" x14ac:dyDescent="0.3">
      <c r="A9" s="17" t="s">
        <v>743</v>
      </c>
      <c r="B9" s="17" t="s">
        <v>34</v>
      </c>
      <c r="C9" s="18" t="s">
        <v>729</v>
      </c>
      <c r="D9" s="18" t="s">
        <v>744</v>
      </c>
      <c r="E9" s="17" t="s">
        <v>21</v>
      </c>
      <c r="F9" s="18" t="s">
        <v>37</v>
      </c>
      <c r="G9" s="17"/>
      <c r="H9" s="17" t="s">
        <v>4</v>
      </c>
    </row>
    <row r="10" spans="1:8" ht="30" customHeight="1" x14ac:dyDescent="0.3">
      <c r="A10" s="17" t="s">
        <v>745</v>
      </c>
      <c r="B10" s="17" t="s">
        <v>34</v>
      </c>
      <c r="C10" s="18" t="s">
        <v>729</v>
      </c>
      <c r="D10" s="18" t="s">
        <v>746</v>
      </c>
      <c r="E10" s="17" t="s">
        <v>21</v>
      </c>
      <c r="F10" s="18" t="s">
        <v>37</v>
      </c>
      <c r="G10" s="17"/>
      <c r="H10" s="17" t="s">
        <v>4</v>
      </c>
    </row>
    <row r="11" spans="1:8" ht="30" customHeight="1" x14ac:dyDescent="0.3">
      <c r="A11" s="17" t="s">
        <v>747</v>
      </c>
      <c r="B11" s="17" t="s">
        <v>83</v>
      </c>
      <c r="C11" s="18" t="s">
        <v>84</v>
      </c>
      <c r="D11" s="18" t="s">
        <v>748</v>
      </c>
      <c r="E11" s="17" t="s">
        <v>22</v>
      </c>
      <c r="F11" s="18" t="s">
        <v>86</v>
      </c>
      <c r="G11" s="17"/>
      <c r="H11" s="17" t="s">
        <v>3</v>
      </c>
    </row>
    <row r="12" spans="1:8" ht="30" customHeight="1" x14ac:dyDescent="0.3">
      <c r="A12" s="17" t="s">
        <v>749</v>
      </c>
      <c r="B12" s="17" t="s">
        <v>83</v>
      </c>
      <c r="C12" s="18" t="s">
        <v>84</v>
      </c>
      <c r="D12" s="18" t="s">
        <v>750</v>
      </c>
      <c r="E12" s="17" t="s">
        <v>22</v>
      </c>
      <c r="F12" s="18" t="s">
        <v>86</v>
      </c>
      <c r="G12" s="17"/>
      <c r="H12" s="17" t="s">
        <v>3</v>
      </c>
    </row>
    <row r="13" spans="1:8" ht="30" customHeight="1" x14ac:dyDescent="0.3">
      <c r="A13" s="17" t="s">
        <v>751</v>
      </c>
      <c r="B13" s="17" t="s">
        <v>83</v>
      </c>
      <c r="C13" s="18" t="s">
        <v>84</v>
      </c>
      <c r="D13" s="18" t="s">
        <v>752</v>
      </c>
      <c r="E13" s="17" t="s">
        <v>22</v>
      </c>
      <c r="F13" s="18" t="s">
        <v>86</v>
      </c>
      <c r="G13" s="17"/>
      <c r="H13" s="17" t="s">
        <v>3</v>
      </c>
    </row>
    <row r="14" spans="1:8" ht="30" customHeight="1" x14ac:dyDescent="0.3">
      <c r="A14" s="17" t="s">
        <v>753</v>
      </c>
      <c r="B14" s="17" t="s">
        <v>83</v>
      </c>
      <c r="C14" s="18" t="s">
        <v>84</v>
      </c>
      <c r="D14" s="18" t="s">
        <v>754</v>
      </c>
      <c r="E14" s="17" t="s">
        <v>22</v>
      </c>
      <c r="F14" s="18" t="s">
        <v>86</v>
      </c>
      <c r="G14" s="17"/>
      <c r="H14" s="17" t="s">
        <v>3</v>
      </c>
    </row>
    <row r="15" spans="1:8" ht="30" customHeight="1" x14ac:dyDescent="0.3">
      <c r="A15" s="17" t="s">
        <v>755</v>
      </c>
      <c r="B15" s="17" t="s">
        <v>83</v>
      </c>
      <c r="C15" s="18" t="s">
        <v>84</v>
      </c>
      <c r="D15" s="18" t="s">
        <v>756</v>
      </c>
      <c r="E15" s="17" t="s">
        <v>22</v>
      </c>
      <c r="F15" s="18" t="s">
        <v>86</v>
      </c>
      <c r="G15" s="17"/>
      <c r="H15" s="17" t="s">
        <v>3</v>
      </c>
    </row>
    <row r="16" spans="1:8" ht="30" customHeight="1" x14ac:dyDescent="0.3">
      <c r="A16" s="17" t="s">
        <v>757</v>
      </c>
      <c r="B16" s="17" t="s">
        <v>83</v>
      </c>
      <c r="C16" s="18" t="s">
        <v>84</v>
      </c>
      <c r="D16" s="18" t="s">
        <v>758</v>
      </c>
      <c r="E16" s="17" t="s">
        <v>22</v>
      </c>
      <c r="F16" s="18" t="s">
        <v>86</v>
      </c>
      <c r="G16" s="17"/>
      <c r="H16" s="17" t="s">
        <v>3</v>
      </c>
    </row>
    <row r="17" spans="1:8" ht="30" customHeight="1" x14ac:dyDescent="0.3">
      <c r="A17" s="17" t="s">
        <v>759</v>
      </c>
      <c r="B17" s="17" t="s">
        <v>83</v>
      </c>
      <c r="C17" s="18" t="s">
        <v>84</v>
      </c>
      <c r="D17" s="18" t="s">
        <v>760</v>
      </c>
      <c r="E17" s="17" t="s">
        <v>22</v>
      </c>
      <c r="F17" s="18" t="s">
        <v>86</v>
      </c>
      <c r="G17" s="17"/>
      <c r="H17" s="17" t="s">
        <v>3</v>
      </c>
    </row>
    <row r="18" spans="1:8" ht="30" customHeight="1" x14ac:dyDescent="0.3">
      <c r="A18" s="17" t="s">
        <v>761</v>
      </c>
      <c r="B18" s="17" t="s">
        <v>83</v>
      </c>
      <c r="C18" s="18" t="s">
        <v>84</v>
      </c>
      <c r="D18" s="18" t="s">
        <v>762</v>
      </c>
      <c r="E18" s="17" t="s">
        <v>22</v>
      </c>
      <c r="F18" s="18" t="s">
        <v>86</v>
      </c>
      <c r="G18" s="17"/>
      <c r="H18" s="17" t="s">
        <v>3</v>
      </c>
    </row>
    <row r="19" spans="1:8" ht="30" customHeight="1" x14ac:dyDescent="0.3">
      <c r="A19" s="17" t="s">
        <v>763</v>
      </c>
      <c r="B19" s="17" t="s">
        <v>83</v>
      </c>
      <c r="C19" s="18" t="s">
        <v>84</v>
      </c>
      <c r="D19" s="18" t="s">
        <v>764</v>
      </c>
      <c r="E19" s="17" t="s">
        <v>22</v>
      </c>
      <c r="F19" s="18" t="s">
        <v>86</v>
      </c>
      <c r="G19" s="17"/>
      <c r="H19" s="17" t="s">
        <v>3</v>
      </c>
    </row>
    <row r="20" spans="1:8" ht="30" customHeight="1" x14ac:dyDescent="0.3">
      <c r="A20" s="17" t="s">
        <v>765</v>
      </c>
      <c r="B20" s="17" t="s">
        <v>83</v>
      </c>
      <c r="C20" s="18" t="s">
        <v>84</v>
      </c>
      <c r="D20" s="18" t="s">
        <v>766</v>
      </c>
      <c r="E20" s="17" t="s">
        <v>22</v>
      </c>
      <c r="F20" s="18" t="s">
        <v>86</v>
      </c>
      <c r="G20" s="17"/>
      <c r="H20" s="17" t="s">
        <v>3</v>
      </c>
    </row>
    <row r="21" spans="1:8" ht="30" customHeight="1" x14ac:dyDescent="0.3">
      <c r="A21" s="17" t="s">
        <v>767</v>
      </c>
      <c r="B21" s="17" t="s">
        <v>83</v>
      </c>
      <c r="C21" s="18" t="s">
        <v>84</v>
      </c>
      <c r="D21" s="18" t="s">
        <v>768</v>
      </c>
      <c r="E21" s="17" t="s">
        <v>22</v>
      </c>
      <c r="F21" s="18" t="s">
        <v>86</v>
      </c>
      <c r="G21" s="17"/>
      <c r="H21" s="17" t="s">
        <v>3</v>
      </c>
    </row>
    <row r="22" spans="1:8" ht="30" customHeight="1" x14ac:dyDescent="0.3">
      <c r="A22" s="17" t="s">
        <v>769</v>
      </c>
      <c r="B22" s="17" t="s">
        <v>83</v>
      </c>
      <c r="C22" s="18" t="s">
        <v>84</v>
      </c>
      <c r="D22" s="18" t="s">
        <v>770</v>
      </c>
      <c r="E22" s="17" t="s">
        <v>22</v>
      </c>
      <c r="F22" s="18" t="s">
        <v>86</v>
      </c>
      <c r="G22" s="17"/>
      <c r="H22" s="17" t="s">
        <v>3</v>
      </c>
    </row>
    <row r="23" spans="1:8" ht="30" customHeight="1" x14ac:dyDescent="0.3">
      <c r="A23" s="17" t="s">
        <v>771</v>
      </c>
      <c r="B23" s="17" t="s">
        <v>83</v>
      </c>
      <c r="C23" s="18" t="s">
        <v>84</v>
      </c>
      <c r="D23" s="18" t="s">
        <v>772</v>
      </c>
      <c r="E23" s="17" t="s">
        <v>22</v>
      </c>
      <c r="F23" s="18" t="s">
        <v>86</v>
      </c>
      <c r="G23" s="17"/>
      <c r="H23" s="17" t="s">
        <v>3</v>
      </c>
    </row>
    <row r="24" spans="1:8" ht="30" customHeight="1" x14ac:dyDescent="0.3">
      <c r="A24" s="17" t="s">
        <v>773</v>
      </c>
      <c r="B24" s="17" t="s">
        <v>83</v>
      </c>
      <c r="C24" s="18" t="s">
        <v>84</v>
      </c>
      <c r="D24" s="18" t="s">
        <v>774</v>
      </c>
      <c r="E24" s="17" t="s">
        <v>22</v>
      </c>
      <c r="F24" s="18" t="s">
        <v>86</v>
      </c>
      <c r="G24" s="17"/>
      <c r="H24" s="17" t="s">
        <v>3</v>
      </c>
    </row>
    <row r="25" spans="1:8" ht="30" customHeight="1" x14ac:dyDescent="0.3">
      <c r="A25" s="17" t="s">
        <v>775</v>
      </c>
      <c r="B25" s="17" t="s">
        <v>83</v>
      </c>
      <c r="C25" s="18" t="s">
        <v>84</v>
      </c>
      <c r="D25" s="18" t="s">
        <v>776</v>
      </c>
      <c r="E25" s="17" t="s">
        <v>22</v>
      </c>
      <c r="F25" s="18" t="s">
        <v>86</v>
      </c>
      <c r="G25" s="17"/>
      <c r="H25" s="17" t="s">
        <v>3</v>
      </c>
    </row>
    <row r="26" spans="1:8" ht="30" customHeight="1" x14ac:dyDescent="0.3">
      <c r="A26" s="17" t="s">
        <v>777</v>
      </c>
      <c r="B26" s="17" t="s">
        <v>83</v>
      </c>
      <c r="C26" s="18" t="s">
        <v>84</v>
      </c>
      <c r="D26" s="18" t="s">
        <v>778</v>
      </c>
      <c r="E26" s="17" t="s">
        <v>22</v>
      </c>
      <c r="F26" s="18" t="s">
        <v>86</v>
      </c>
      <c r="G26" s="17"/>
      <c r="H26" s="17" t="s">
        <v>3</v>
      </c>
    </row>
    <row r="27" spans="1:8" ht="30" customHeight="1" x14ac:dyDescent="0.3">
      <c r="A27" s="17" t="s">
        <v>779</v>
      </c>
      <c r="B27" s="17" t="s">
        <v>83</v>
      </c>
      <c r="C27" s="18" t="s">
        <v>84</v>
      </c>
      <c r="D27" s="18" t="s">
        <v>780</v>
      </c>
      <c r="E27" s="17" t="s">
        <v>22</v>
      </c>
      <c r="F27" s="18" t="s">
        <v>86</v>
      </c>
      <c r="G27" s="17"/>
      <c r="H27" s="17" t="s">
        <v>3</v>
      </c>
    </row>
    <row r="28" spans="1:8" ht="30" customHeight="1" x14ac:dyDescent="0.3">
      <c r="A28" s="17" t="s">
        <v>781</v>
      </c>
      <c r="B28" s="17" t="s">
        <v>83</v>
      </c>
      <c r="C28" s="18" t="s">
        <v>84</v>
      </c>
      <c r="D28" s="18" t="s">
        <v>782</v>
      </c>
      <c r="E28" s="17" t="s">
        <v>22</v>
      </c>
      <c r="F28" s="18" t="s">
        <v>86</v>
      </c>
      <c r="G28" s="17"/>
      <c r="H28" s="17" t="s">
        <v>3</v>
      </c>
    </row>
    <row r="29" spans="1:8" ht="30" customHeight="1" x14ac:dyDescent="0.3">
      <c r="A29" s="17" t="s">
        <v>783</v>
      </c>
      <c r="B29" s="17" t="s">
        <v>83</v>
      </c>
      <c r="C29" s="18" t="s">
        <v>84</v>
      </c>
      <c r="D29" s="18" t="s">
        <v>784</v>
      </c>
      <c r="E29" s="17" t="s">
        <v>22</v>
      </c>
      <c r="F29" s="18" t="s">
        <v>86</v>
      </c>
      <c r="G29" s="17"/>
      <c r="H29" s="17" t="s">
        <v>3</v>
      </c>
    </row>
    <row r="30" spans="1:8" ht="30" customHeight="1" x14ac:dyDescent="0.3">
      <c r="A30" s="17" t="s">
        <v>785</v>
      </c>
      <c r="B30" s="17" t="s">
        <v>83</v>
      </c>
      <c r="C30" s="18" t="s">
        <v>84</v>
      </c>
      <c r="D30" s="18" t="s">
        <v>786</v>
      </c>
      <c r="E30" s="17" t="s">
        <v>22</v>
      </c>
      <c r="F30" s="18" t="s">
        <v>86</v>
      </c>
      <c r="G30" s="17"/>
      <c r="H30" s="17" t="s">
        <v>3</v>
      </c>
    </row>
    <row r="31" spans="1:8" ht="30" customHeight="1" x14ac:dyDescent="0.3">
      <c r="A31" s="17" t="s">
        <v>787</v>
      </c>
      <c r="B31" s="17" t="s">
        <v>126</v>
      </c>
      <c r="C31" s="18" t="s">
        <v>127</v>
      </c>
      <c r="D31" s="18" t="s">
        <v>788</v>
      </c>
      <c r="E31" s="17" t="s">
        <v>22</v>
      </c>
      <c r="F31" s="18" t="s">
        <v>129</v>
      </c>
      <c r="G31" s="17"/>
      <c r="H31" s="17" t="s">
        <v>3</v>
      </c>
    </row>
    <row r="32" spans="1:8" ht="30" customHeight="1" x14ac:dyDescent="0.3">
      <c r="A32" s="17" t="s">
        <v>789</v>
      </c>
      <c r="B32" s="17" t="s">
        <v>126</v>
      </c>
      <c r="C32" s="18" t="s">
        <v>127</v>
      </c>
      <c r="D32" s="18" t="s">
        <v>790</v>
      </c>
      <c r="E32" s="17" t="s">
        <v>22</v>
      </c>
      <c r="F32" s="18" t="s">
        <v>129</v>
      </c>
      <c r="G32" s="17"/>
      <c r="H32" s="17" t="s">
        <v>3</v>
      </c>
    </row>
    <row r="33" spans="1:8" ht="30" customHeight="1" x14ac:dyDescent="0.3">
      <c r="A33" s="17" t="s">
        <v>791</v>
      </c>
      <c r="B33" s="17" t="s">
        <v>126</v>
      </c>
      <c r="C33" s="18" t="s">
        <v>127</v>
      </c>
      <c r="D33" s="18" t="s">
        <v>792</v>
      </c>
      <c r="E33" s="17" t="s">
        <v>22</v>
      </c>
      <c r="F33" s="18" t="s">
        <v>129</v>
      </c>
      <c r="G33" s="17"/>
      <c r="H33" s="17" t="s">
        <v>3</v>
      </c>
    </row>
    <row r="34" spans="1:8" ht="30" customHeight="1" x14ac:dyDescent="0.3">
      <c r="A34" s="17" t="s">
        <v>793</v>
      </c>
      <c r="B34" s="17" t="s">
        <v>126</v>
      </c>
      <c r="C34" s="18" t="s">
        <v>127</v>
      </c>
      <c r="D34" s="18" t="s">
        <v>794</v>
      </c>
      <c r="E34" s="17" t="s">
        <v>22</v>
      </c>
      <c r="F34" s="18" t="s">
        <v>129</v>
      </c>
      <c r="G34" s="17"/>
      <c r="H34" s="17" t="s">
        <v>3</v>
      </c>
    </row>
    <row r="35" spans="1:8" ht="30" customHeight="1" x14ac:dyDescent="0.3">
      <c r="A35" s="17" t="s">
        <v>795</v>
      </c>
      <c r="B35" s="17" t="s">
        <v>126</v>
      </c>
      <c r="C35" s="18" t="s">
        <v>127</v>
      </c>
      <c r="D35" s="18" t="s">
        <v>796</v>
      </c>
      <c r="E35" s="17" t="s">
        <v>22</v>
      </c>
      <c r="F35" s="18" t="s">
        <v>129</v>
      </c>
      <c r="G35" s="17"/>
      <c r="H35" s="17" t="s">
        <v>3</v>
      </c>
    </row>
    <row r="36" spans="1:8" ht="30" customHeight="1" x14ac:dyDescent="0.3">
      <c r="A36" s="17" t="s">
        <v>797</v>
      </c>
      <c r="B36" s="17" t="s">
        <v>126</v>
      </c>
      <c r="C36" s="18" t="s">
        <v>127</v>
      </c>
      <c r="D36" s="18" t="s">
        <v>798</v>
      </c>
      <c r="E36" s="17" t="s">
        <v>22</v>
      </c>
      <c r="F36" s="18" t="s">
        <v>129</v>
      </c>
      <c r="G36" s="17"/>
      <c r="H36" s="17" t="s">
        <v>3</v>
      </c>
    </row>
    <row r="37" spans="1:8" ht="30" customHeight="1" x14ac:dyDescent="0.3">
      <c r="A37" s="17" t="s">
        <v>799</v>
      </c>
      <c r="B37" s="17" t="s">
        <v>126</v>
      </c>
      <c r="C37" s="18" t="s">
        <v>127</v>
      </c>
      <c r="D37" s="18" t="s">
        <v>800</v>
      </c>
      <c r="E37" s="17" t="s">
        <v>22</v>
      </c>
      <c r="F37" s="18" t="s">
        <v>129</v>
      </c>
      <c r="G37" s="17"/>
      <c r="H37" s="17" t="s">
        <v>3</v>
      </c>
    </row>
    <row r="38" spans="1:8" ht="30" customHeight="1" x14ac:dyDescent="0.3">
      <c r="A38" s="17" t="s">
        <v>801</v>
      </c>
      <c r="B38" s="17" t="s">
        <v>126</v>
      </c>
      <c r="C38" s="18" t="s">
        <v>127</v>
      </c>
      <c r="D38" s="18" t="s">
        <v>802</v>
      </c>
      <c r="E38" s="17" t="s">
        <v>22</v>
      </c>
      <c r="F38" s="18" t="s">
        <v>129</v>
      </c>
      <c r="G38" s="17"/>
      <c r="H38" s="17" t="s">
        <v>3</v>
      </c>
    </row>
    <row r="39" spans="1:8" ht="30" customHeight="1" x14ac:dyDescent="0.3">
      <c r="A39" s="17" t="s">
        <v>803</v>
      </c>
      <c r="B39" s="17" t="s">
        <v>126</v>
      </c>
      <c r="C39" s="18" t="s">
        <v>127</v>
      </c>
      <c r="D39" s="18" t="s">
        <v>804</v>
      </c>
      <c r="E39" s="17" t="s">
        <v>22</v>
      </c>
      <c r="F39" s="18" t="s">
        <v>129</v>
      </c>
      <c r="G39" s="17"/>
      <c r="H39" s="17" t="s">
        <v>3</v>
      </c>
    </row>
    <row r="40" spans="1:8" ht="30" customHeight="1" x14ac:dyDescent="0.3">
      <c r="A40" s="17" t="s">
        <v>805</v>
      </c>
      <c r="B40" s="17" t="s">
        <v>126</v>
      </c>
      <c r="C40" s="18" t="s">
        <v>127</v>
      </c>
      <c r="D40" s="18" t="s">
        <v>806</v>
      </c>
      <c r="E40" s="17" t="s">
        <v>22</v>
      </c>
      <c r="F40" s="18" t="s">
        <v>129</v>
      </c>
      <c r="G40" s="17"/>
      <c r="H40" s="17" t="s">
        <v>3</v>
      </c>
    </row>
    <row r="41" spans="1:8" ht="30" customHeight="1" x14ac:dyDescent="0.3">
      <c r="A41" s="17" t="s">
        <v>807</v>
      </c>
      <c r="B41" s="17" t="s">
        <v>126</v>
      </c>
      <c r="C41" s="18" t="s">
        <v>127</v>
      </c>
      <c r="D41" s="18" t="s">
        <v>808</v>
      </c>
      <c r="E41" s="17" t="s">
        <v>22</v>
      </c>
      <c r="F41" s="18" t="s">
        <v>129</v>
      </c>
      <c r="G41" s="17"/>
      <c r="H41" s="17" t="s">
        <v>3</v>
      </c>
    </row>
    <row r="42" spans="1:8" ht="30" customHeight="1" x14ac:dyDescent="0.3">
      <c r="A42" s="17" t="s">
        <v>809</v>
      </c>
      <c r="B42" s="17" t="s">
        <v>126</v>
      </c>
      <c r="C42" s="18" t="s">
        <v>127</v>
      </c>
      <c r="D42" s="18" t="s">
        <v>810</v>
      </c>
      <c r="E42" s="17" t="s">
        <v>22</v>
      </c>
      <c r="F42" s="18" t="s">
        <v>129</v>
      </c>
      <c r="G42" s="17"/>
      <c r="H42" s="17" t="s">
        <v>3</v>
      </c>
    </row>
    <row r="43" spans="1:8" ht="30" customHeight="1" x14ac:dyDescent="0.3">
      <c r="A43" s="17" t="s">
        <v>811</v>
      </c>
      <c r="B43" s="17" t="s">
        <v>126</v>
      </c>
      <c r="C43" s="18" t="s">
        <v>127</v>
      </c>
      <c r="D43" s="18" t="s">
        <v>812</v>
      </c>
      <c r="E43" s="17" t="s">
        <v>22</v>
      </c>
      <c r="F43" s="18" t="s">
        <v>129</v>
      </c>
      <c r="G43" s="17"/>
      <c r="H43" s="17" t="s">
        <v>3</v>
      </c>
    </row>
    <row r="44" spans="1:8" ht="30" customHeight="1" x14ac:dyDescent="0.3">
      <c r="A44" s="17" t="s">
        <v>813</v>
      </c>
      <c r="B44" s="17" t="s">
        <v>126</v>
      </c>
      <c r="C44" s="18" t="s">
        <v>127</v>
      </c>
      <c r="D44" s="18" t="s">
        <v>814</v>
      </c>
      <c r="E44" s="17" t="s">
        <v>22</v>
      </c>
      <c r="F44" s="18" t="s">
        <v>129</v>
      </c>
      <c r="G44" s="17"/>
      <c r="H44" s="17" t="s">
        <v>3</v>
      </c>
    </row>
    <row r="45" spans="1:8" ht="30" customHeight="1" x14ac:dyDescent="0.3">
      <c r="A45" s="17" t="s">
        <v>815</v>
      </c>
      <c r="B45" s="17" t="s">
        <v>126</v>
      </c>
      <c r="C45" s="18" t="s">
        <v>127</v>
      </c>
      <c r="D45" s="18" t="s">
        <v>816</v>
      </c>
      <c r="E45" s="17" t="s">
        <v>22</v>
      </c>
      <c r="F45" s="18" t="s">
        <v>129</v>
      </c>
      <c r="G45" s="17"/>
      <c r="H45" s="17" t="s">
        <v>3</v>
      </c>
    </row>
    <row r="46" spans="1:8" ht="30" customHeight="1" x14ac:dyDescent="0.3">
      <c r="A46" s="17" t="s">
        <v>817</v>
      </c>
      <c r="B46" s="17" t="s">
        <v>126</v>
      </c>
      <c r="C46" s="18" t="s">
        <v>818</v>
      </c>
      <c r="D46" s="18" t="s">
        <v>819</v>
      </c>
      <c r="E46" s="17" t="s">
        <v>22</v>
      </c>
      <c r="F46" s="18" t="s">
        <v>129</v>
      </c>
      <c r="G46" s="17"/>
      <c r="H46" s="17" t="s">
        <v>3</v>
      </c>
    </row>
    <row r="47" spans="1:8" ht="30" customHeight="1" x14ac:dyDescent="0.3">
      <c r="A47" s="17" t="s">
        <v>820</v>
      </c>
      <c r="B47" s="17" t="s">
        <v>126</v>
      </c>
      <c r="C47" s="18" t="s">
        <v>818</v>
      </c>
      <c r="D47" s="18" t="s">
        <v>821</v>
      </c>
      <c r="E47" s="17" t="s">
        <v>22</v>
      </c>
      <c r="F47" s="18" t="s">
        <v>129</v>
      </c>
      <c r="G47" s="17"/>
      <c r="H47" s="17" t="s">
        <v>3</v>
      </c>
    </row>
    <row r="48" spans="1:8" ht="30" customHeight="1" x14ac:dyDescent="0.3">
      <c r="A48" s="17" t="s">
        <v>822</v>
      </c>
      <c r="B48" s="17" t="s">
        <v>126</v>
      </c>
      <c r="C48" s="18" t="s">
        <v>818</v>
      </c>
      <c r="D48" s="18" t="s">
        <v>823</v>
      </c>
      <c r="E48" s="17" t="s">
        <v>22</v>
      </c>
      <c r="F48" s="18" t="s">
        <v>129</v>
      </c>
      <c r="G48" s="17"/>
      <c r="H48" s="17" t="s">
        <v>3</v>
      </c>
    </row>
    <row r="49" spans="1:8" ht="30" customHeight="1" x14ac:dyDescent="0.3">
      <c r="A49" s="17" t="s">
        <v>824</v>
      </c>
      <c r="B49" s="17" t="s">
        <v>126</v>
      </c>
      <c r="C49" s="18" t="s">
        <v>818</v>
      </c>
      <c r="D49" s="18" t="s">
        <v>825</v>
      </c>
      <c r="E49" s="17" t="s">
        <v>22</v>
      </c>
      <c r="F49" s="18" t="s">
        <v>129</v>
      </c>
      <c r="G49" s="17"/>
      <c r="H49" s="17" t="s">
        <v>3</v>
      </c>
    </row>
    <row r="50" spans="1:8" ht="30" customHeight="1" x14ac:dyDescent="0.3">
      <c r="A50" s="17" t="s">
        <v>826</v>
      </c>
      <c r="B50" s="17" t="s">
        <v>126</v>
      </c>
      <c r="C50" s="18" t="s">
        <v>818</v>
      </c>
      <c r="D50" s="18" t="s">
        <v>827</v>
      </c>
      <c r="E50" s="17" t="s">
        <v>22</v>
      </c>
      <c r="F50" s="18" t="s">
        <v>129</v>
      </c>
      <c r="G50" s="17"/>
      <c r="H50" s="17" t="s">
        <v>3</v>
      </c>
    </row>
    <row r="51" spans="1:8" ht="30" customHeight="1" x14ac:dyDescent="0.3">
      <c r="A51" s="17" t="s">
        <v>828</v>
      </c>
      <c r="B51" s="17" t="s">
        <v>126</v>
      </c>
      <c r="C51" s="18" t="s">
        <v>818</v>
      </c>
      <c r="D51" s="18" t="s">
        <v>829</v>
      </c>
      <c r="E51" s="17" t="s">
        <v>22</v>
      </c>
      <c r="F51" s="18" t="s">
        <v>129</v>
      </c>
      <c r="G51" s="17"/>
      <c r="H51" s="17" t="s">
        <v>3</v>
      </c>
    </row>
    <row r="52" spans="1:8" ht="30" customHeight="1" x14ac:dyDescent="0.3">
      <c r="A52" s="17" t="s">
        <v>830</v>
      </c>
      <c r="B52" s="17" t="s">
        <v>126</v>
      </c>
      <c r="C52" s="18" t="s">
        <v>818</v>
      </c>
      <c r="D52" s="18" t="s">
        <v>831</v>
      </c>
      <c r="E52" s="17" t="s">
        <v>22</v>
      </c>
      <c r="F52" s="18" t="s">
        <v>129</v>
      </c>
      <c r="G52" s="17"/>
      <c r="H52" s="17" t="s">
        <v>3</v>
      </c>
    </row>
    <row r="53" spans="1:8" ht="30" customHeight="1" x14ac:dyDescent="0.3">
      <c r="A53" s="17" t="s">
        <v>832</v>
      </c>
      <c r="B53" s="17" t="s">
        <v>126</v>
      </c>
      <c r="C53" s="18" t="s">
        <v>818</v>
      </c>
      <c r="D53" s="18" t="s">
        <v>833</v>
      </c>
      <c r="E53" s="17" t="s">
        <v>22</v>
      </c>
      <c r="F53" s="18" t="s">
        <v>129</v>
      </c>
      <c r="G53" s="17"/>
      <c r="H53" s="17" t="s">
        <v>3</v>
      </c>
    </row>
    <row r="54" spans="1:8" ht="30" customHeight="1" x14ac:dyDescent="0.3">
      <c r="A54" s="17" t="s">
        <v>834</v>
      </c>
      <c r="B54" s="17" t="s">
        <v>126</v>
      </c>
      <c r="C54" s="18" t="s">
        <v>818</v>
      </c>
      <c r="D54" s="18" t="s">
        <v>835</v>
      </c>
      <c r="E54" s="17" t="s">
        <v>22</v>
      </c>
      <c r="F54" s="18" t="s">
        <v>129</v>
      </c>
      <c r="G54" s="17"/>
      <c r="H54" s="17" t="s">
        <v>3</v>
      </c>
    </row>
    <row r="55" spans="1:8" ht="30" customHeight="1" x14ac:dyDescent="0.3">
      <c r="A55" s="17" t="s">
        <v>836</v>
      </c>
      <c r="B55" s="17" t="s">
        <v>126</v>
      </c>
      <c r="C55" s="18" t="s">
        <v>818</v>
      </c>
      <c r="D55" s="18" t="s">
        <v>837</v>
      </c>
      <c r="E55" s="17" t="s">
        <v>22</v>
      </c>
      <c r="F55" s="18" t="s">
        <v>129</v>
      </c>
      <c r="G55" s="17"/>
      <c r="H55" s="17" t="s">
        <v>3</v>
      </c>
    </row>
    <row r="56" spans="1:8" ht="30" customHeight="1" x14ac:dyDescent="0.3">
      <c r="A56" s="17" t="s">
        <v>838</v>
      </c>
      <c r="B56" s="17" t="s">
        <v>126</v>
      </c>
      <c r="C56" s="18" t="s">
        <v>839</v>
      </c>
      <c r="D56" s="18" t="s">
        <v>840</v>
      </c>
      <c r="E56" s="17" t="s">
        <v>22</v>
      </c>
      <c r="F56" s="18" t="s">
        <v>129</v>
      </c>
      <c r="G56" s="17"/>
      <c r="H56" s="17" t="s">
        <v>3</v>
      </c>
    </row>
    <row r="57" spans="1:8" ht="30" customHeight="1" x14ac:dyDescent="0.3">
      <c r="A57" s="17" t="s">
        <v>841</v>
      </c>
      <c r="B57" s="17" t="s">
        <v>126</v>
      </c>
      <c r="C57" s="18" t="s">
        <v>839</v>
      </c>
      <c r="D57" s="18" t="s">
        <v>842</v>
      </c>
      <c r="E57" s="17" t="s">
        <v>22</v>
      </c>
      <c r="F57" s="18" t="s">
        <v>129</v>
      </c>
      <c r="G57" s="17"/>
      <c r="H57" s="17" t="s">
        <v>3</v>
      </c>
    </row>
    <row r="58" spans="1:8" ht="30" customHeight="1" x14ac:dyDescent="0.3">
      <c r="A58" s="17" t="s">
        <v>843</v>
      </c>
      <c r="B58" s="17" t="s">
        <v>126</v>
      </c>
      <c r="C58" s="18" t="s">
        <v>127</v>
      </c>
      <c r="D58" s="18" t="s">
        <v>844</v>
      </c>
      <c r="E58" s="17" t="s">
        <v>22</v>
      </c>
      <c r="F58" s="18" t="s">
        <v>129</v>
      </c>
      <c r="G58" s="17"/>
      <c r="H58" s="17" t="s">
        <v>3</v>
      </c>
    </row>
    <row r="59" spans="1:8" ht="30" customHeight="1" x14ac:dyDescent="0.3">
      <c r="A59" s="17" t="s">
        <v>845</v>
      </c>
      <c r="B59" s="17" t="s">
        <v>175</v>
      </c>
      <c r="C59" s="18" t="s">
        <v>176</v>
      </c>
      <c r="D59" s="18" t="s">
        <v>846</v>
      </c>
      <c r="E59" s="17" t="s">
        <v>21</v>
      </c>
      <c r="F59" s="18" t="s">
        <v>178</v>
      </c>
      <c r="G59" s="17"/>
      <c r="H59" s="17" t="s">
        <v>3</v>
      </c>
    </row>
    <row r="60" spans="1:8" ht="30" customHeight="1" x14ac:dyDescent="0.3">
      <c r="A60" s="17" t="s">
        <v>847</v>
      </c>
      <c r="B60" s="17" t="s">
        <v>175</v>
      </c>
      <c r="C60" s="18" t="s">
        <v>176</v>
      </c>
      <c r="D60" s="18" t="s">
        <v>848</v>
      </c>
      <c r="E60" s="17" t="s">
        <v>21</v>
      </c>
      <c r="F60" s="18" t="s">
        <v>178</v>
      </c>
      <c r="G60" s="17"/>
      <c r="H60" s="17" t="s">
        <v>3</v>
      </c>
    </row>
    <row r="61" spans="1:8" ht="30" customHeight="1" x14ac:dyDescent="0.3">
      <c r="A61" s="17" t="s">
        <v>849</v>
      </c>
      <c r="B61" s="17" t="s">
        <v>175</v>
      </c>
      <c r="C61" s="18" t="s">
        <v>176</v>
      </c>
      <c r="D61" s="18" t="s">
        <v>850</v>
      </c>
      <c r="E61" s="17" t="s">
        <v>21</v>
      </c>
      <c r="F61" s="18" t="s">
        <v>178</v>
      </c>
      <c r="G61" s="17"/>
      <c r="H61" s="17" t="s">
        <v>3</v>
      </c>
    </row>
    <row r="62" spans="1:8" ht="30" customHeight="1" x14ac:dyDescent="0.3">
      <c r="A62" s="17" t="s">
        <v>851</v>
      </c>
      <c r="B62" s="17" t="s">
        <v>175</v>
      </c>
      <c r="C62" s="18" t="s">
        <v>176</v>
      </c>
      <c r="D62" s="18" t="s">
        <v>852</v>
      </c>
      <c r="E62" s="17" t="s">
        <v>21</v>
      </c>
      <c r="F62" s="18" t="s">
        <v>178</v>
      </c>
      <c r="G62" s="17"/>
      <c r="H62" s="17" t="s">
        <v>3</v>
      </c>
    </row>
    <row r="63" spans="1:8" ht="30" customHeight="1" x14ac:dyDescent="0.3">
      <c r="A63" s="17" t="s">
        <v>853</v>
      </c>
      <c r="B63" s="17" t="s">
        <v>175</v>
      </c>
      <c r="C63" s="18" t="s">
        <v>176</v>
      </c>
      <c r="D63" s="18" t="s">
        <v>854</v>
      </c>
      <c r="E63" s="17" t="s">
        <v>21</v>
      </c>
      <c r="F63" s="18" t="s">
        <v>178</v>
      </c>
      <c r="G63" s="17"/>
      <c r="H63" s="17" t="s">
        <v>3</v>
      </c>
    </row>
    <row r="64" spans="1:8" ht="30" customHeight="1" x14ac:dyDescent="0.3">
      <c r="A64" s="17" t="s">
        <v>855</v>
      </c>
      <c r="B64" s="17" t="s">
        <v>175</v>
      </c>
      <c r="C64" s="18" t="s">
        <v>176</v>
      </c>
      <c r="D64" s="18" t="s">
        <v>856</v>
      </c>
      <c r="E64" s="17" t="s">
        <v>21</v>
      </c>
      <c r="F64" s="18" t="s">
        <v>178</v>
      </c>
      <c r="G64" s="17"/>
      <c r="H64" s="17" t="s">
        <v>3</v>
      </c>
    </row>
    <row r="65" spans="1:8" ht="30" customHeight="1" x14ac:dyDescent="0.3">
      <c r="A65" s="17" t="s">
        <v>857</v>
      </c>
      <c r="B65" s="17" t="s">
        <v>175</v>
      </c>
      <c r="C65" s="18" t="s">
        <v>176</v>
      </c>
      <c r="D65" s="18" t="s">
        <v>858</v>
      </c>
      <c r="E65" s="17" t="s">
        <v>21</v>
      </c>
      <c r="F65" s="18" t="s">
        <v>178</v>
      </c>
      <c r="G65" s="17"/>
      <c r="H65" s="17" t="s">
        <v>3</v>
      </c>
    </row>
    <row r="66" spans="1:8" ht="30" customHeight="1" x14ac:dyDescent="0.3">
      <c r="A66" s="17" t="s">
        <v>859</v>
      </c>
      <c r="B66" s="17" t="s">
        <v>175</v>
      </c>
      <c r="C66" s="18" t="s">
        <v>176</v>
      </c>
      <c r="D66" s="18" t="s">
        <v>860</v>
      </c>
      <c r="E66" s="17" t="s">
        <v>21</v>
      </c>
      <c r="F66" s="18" t="s">
        <v>178</v>
      </c>
      <c r="G66" s="17"/>
      <c r="H66" s="17" t="s">
        <v>3</v>
      </c>
    </row>
    <row r="67" spans="1:8" ht="30" customHeight="1" x14ac:dyDescent="0.3">
      <c r="A67" s="17" t="s">
        <v>861</v>
      </c>
      <c r="B67" s="17" t="s">
        <v>175</v>
      </c>
      <c r="C67" s="18" t="s">
        <v>176</v>
      </c>
      <c r="D67" s="18" t="s">
        <v>862</v>
      </c>
      <c r="E67" s="17" t="s">
        <v>21</v>
      </c>
      <c r="F67" s="18" t="s">
        <v>178</v>
      </c>
      <c r="G67" s="17"/>
      <c r="H67" s="17" t="s">
        <v>3</v>
      </c>
    </row>
    <row r="68" spans="1:8" ht="30" customHeight="1" x14ac:dyDescent="0.3">
      <c r="A68" s="17" t="s">
        <v>863</v>
      </c>
      <c r="B68" s="17" t="s">
        <v>175</v>
      </c>
      <c r="C68" s="18" t="s">
        <v>818</v>
      </c>
      <c r="D68" s="18" t="s">
        <v>864</v>
      </c>
      <c r="E68" s="17" t="s">
        <v>21</v>
      </c>
      <c r="F68" s="18" t="s">
        <v>178</v>
      </c>
      <c r="G68" s="17"/>
      <c r="H68" s="17" t="s">
        <v>3</v>
      </c>
    </row>
    <row r="69" spans="1:8" ht="30" customHeight="1" x14ac:dyDescent="0.3">
      <c r="A69" s="17" t="s">
        <v>865</v>
      </c>
      <c r="B69" s="17" t="s">
        <v>175</v>
      </c>
      <c r="C69" s="18" t="s">
        <v>818</v>
      </c>
      <c r="D69" s="18" t="s">
        <v>866</v>
      </c>
      <c r="E69" s="17" t="s">
        <v>21</v>
      </c>
      <c r="F69" s="18" t="s">
        <v>178</v>
      </c>
      <c r="G69" s="17"/>
      <c r="H69" s="17" t="s">
        <v>3</v>
      </c>
    </row>
    <row r="70" spans="1:8" ht="30" customHeight="1" x14ac:dyDescent="0.3">
      <c r="A70" s="17" t="s">
        <v>867</v>
      </c>
      <c r="B70" s="17" t="s">
        <v>175</v>
      </c>
      <c r="C70" s="18" t="s">
        <v>868</v>
      </c>
      <c r="D70" s="18" t="s">
        <v>869</v>
      </c>
      <c r="E70" s="17" t="s">
        <v>21</v>
      </c>
      <c r="F70" s="18" t="s">
        <v>178</v>
      </c>
      <c r="G70" s="17"/>
      <c r="H70" s="17" t="s">
        <v>3</v>
      </c>
    </row>
    <row r="71" spans="1:8" ht="30" customHeight="1" x14ac:dyDescent="0.3">
      <c r="A71" s="17" t="s">
        <v>870</v>
      </c>
      <c r="B71" s="17" t="s">
        <v>175</v>
      </c>
      <c r="C71" s="18" t="s">
        <v>84</v>
      </c>
      <c r="D71" s="18" t="s">
        <v>871</v>
      </c>
      <c r="E71" s="17" t="s">
        <v>21</v>
      </c>
      <c r="F71" s="18" t="s">
        <v>178</v>
      </c>
      <c r="G71" s="17"/>
      <c r="H71" s="17" t="s">
        <v>3</v>
      </c>
    </row>
    <row r="72" spans="1:8" ht="30" customHeight="1" x14ac:dyDescent="0.3">
      <c r="A72" s="17" t="s">
        <v>872</v>
      </c>
      <c r="B72" s="17" t="s">
        <v>175</v>
      </c>
      <c r="C72" s="18" t="s">
        <v>127</v>
      </c>
      <c r="D72" s="18" t="s">
        <v>873</v>
      </c>
      <c r="E72" s="17" t="s">
        <v>21</v>
      </c>
      <c r="F72" s="18" t="s">
        <v>178</v>
      </c>
      <c r="G72" s="17"/>
      <c r="H72" s="17" t="s">
        <v>3</v>
      </c>
    </row>
    <row r="73" spans="1:8" ht="30" customHeight="1" x14ac:dyDescent="0.3">
      <c r="A73" s="17" t="s">
        <v>874</v>
      </c>
      <c r="B73" s="17" t="s">
        <v>175</v>
      </c>
      <c r="C73" s="18" t="s">
        <v>818</v>
      </c>
      <c r="D73" s="18" t="s">
        <v>875</v>
      </c>
      <c r="E73" s="17" t="s">
        <v>21</v>
      </c>
      <c r="F73" s="18" t="s">
        <v>178</v>
      </c>
      <c r="G73" s="17"/>
      <c r="H73" s="17" t="s">
        <v>3</v>
      </c>
    </row>
    <row r="74" spans="1:8" ht="30" customHeight="1" x14ac:dyDescent="0.3">
      <c r="A74" s="17" t="s">
        <v>876</v>
      </c>
      <c r="B74" s="17" t="s">
        <v>175</v>
      </c>
      <c r="C74" s="18" t="s">
        <v>84</v>
      </c>
      <c r="D74" s="18" t="s">
        <v>877</v>
      </c>
      <c r="E74" s="17" t="s">
        <v>21</v>
      </c>
      <c r="F74" s="18" t="s">
        <v>178</v>
      </c>
      <c r="G74" s="17"/>
      <c r="H74" s="17" t="s">
        <v>3</v>
      </c>
    </row>
    <row r="75" spans="1:8" ht="30" customHeight="1" x14ac:dyDescent="0.3">
      <c r="A75" s="17" t="s">
        <v>878</v>
      </c>
      <c r="B75" s="17" t="s">
        <v>175</v>
      </c>
      <c r="C75" s="18" t="s">
        <v>879</v>
      </c>
      <c r="D75" s="18" t="s">
        <v>880</v>
      </c>
      <c r="E75" s="17" t="s">
        <v>21</v>
      </c>
      <c r="F75" s="18" t="s">
        <v>178</v>
      </c>
      <c r="G75" s="17"/>
      <c r="H75" s="17" t="s">
        <v>3</v>
      </c>
    </row>
    <row r="76" spans="1:8" ht="30" customHeight="1" x14ac:dyDescent="0.3">
      <c r="A76" s="17" t="s">
        <v>881</v>
      </c>
      <c r="B76" s="17" t="s">
        <v>175</v>
      </c>
      <c r="C76" s="18" t="s">
        <v>879</v>
      </c>
      <c r="D76" s="18" t="s">
        <v>882</v>
      </c>
      <c r="E76" s="17" t="s">
        <v>21</v>
      </c>
      <c r="F76" s="18" t="s">
        <v>178</v>
      </c>
      <c r="G76" s="17"/>
      <c r="H76" s="17" t="s">
        <v>3</v>
      </c>
    </row>
    <row r="77" spans="1:8" ht="30" customHeight="1" x14ac:dyDescent="0.3">
      <c r="A77" s="17" t="s">
        <v>883</v>
      </c>
      <c r="B77" s="17" t="s">
        <v>175</v>
      </c>
      <c r="C77" s="18" t="s">
        <v>879</v>
      </c>
      <c r="D77" s="18" t="s">
        <v>884</v>
      </c>
      <c r="E77" s="17" t="s">
        <v>21</v>
      </c>
      <c r="F77" s="18" t="s">
        <v>178</v>
      </c>
      <c r="G77" s="17"/>
      <c r="H77" s="17" t="s">
        <v>3</v>
      </c>
    </row>
    <row r="78" spans="1:8" ht="30" customHeight="1" x14ac:dyDescent="0.3">
      <c r="A78" s="17" t="s">
        <v>885</v>
      </c>
      <c r="B78" s="17" t="s">
        <v>175</v>
      </c>
      <c r="C78" s="18" t="s">
        <v>886</v>
      </c>
      <c r="D78" s="18" t="s">
        <v>887</v>
      </c>
      <c r="E78" s="17" t="s">
        <v>21</v>
      </c>
      <c r="F78" s="18" t="s">
        <v>178</v>
      </c>
      <c r="G78" s="17"/>
      <c r="H78" s="17" t="s">
        <v>3</v>
      </c>
    </row>
    <row r="79" spans="1:8" ht="30" customHeight="1" x14ac:dyDescent="0.3">
      <c r="A79" s="17" t="s">
        <v>888</v>
      </c>
      <c r="B79" s="17" t="s">
        <v>175</v>
      </c>
      <c r="C79" s="18" t="s">
        <v>886</v>
      </c>
      <c r="D79" s="18" t="s">
        <v>889</v>
      </c>
      <c r="E79" s="17" t="s">
        <v>21</v>
      </c>
      <c r="F79" s="18" t="s">
        <v>178</v>
      </c>
      <c r="G79" s="17"/>
      <c r="H79" s="17" t="s">
        <v>3</v>
      </c>
    </row>
    <row r="80" spans="1:8" ht="30" customHeight="1" x14ac:dyDescent="0.3">
      <c r="A80" s="17" t="s">
        <v>890</v>
      </c>
      <c r="B80" s="17" t="s">
        <v>175</v>
      </c>
      <c r="C80" s="18" t="s">
        <v>886</v>
      </c>
      <c r="D80" s="18" t="s">
        <v>891</v>
      </c>
      <c r="E80" s="17" t="s">
        <v>21</v>
      </c>
      <c r="F80" s="18" t="s">
        <v>178</v>
      </c>
      <c r="G80" s="17"/>
      <c r="H80" s="17" t="s">
        <v>3</v>
      </c>
    </row>
    <row r="81" spans="1:8" ht="30" customHeight="1" x14ac:dyDescent="0.3">
      <c r="A81" s="17" t="s">
        <v>892</v>
      </c>
      <c r="B81" s="17" t="s">
        <v>218</v>
      </c>
      <c r="C81" s="18" t="s">
        <v>84</v>
      </c>
      <c r="D81" s="18" t="s">
        <v>893</v>
      </c>
      <c r="E81" s="17" t="s">
        <v>23</v>
      </c>
      <c r="F81" s="18" t="s">
        <v>221</v>
      </c>
      <c r="G81" s="17"/>
      <c r="H81" s="17" t="s">
        <v>3</v>
      </c>
    </row>
    <row r="82" spans="1:8" ht="30" customHeight="1" x14ac:dyDescent="0.3">
      <c r="A82" s="17" t="s">
        <v>894</v>
      </c>
      <c r="B82" s="17" t="s">
        <v>218</v>
      </c>
      <c r="C82" s="18" t="s">
        <v>84</v>
      </c>
      <c r="D82" s="18" t="s">
        <v>895</v>
      </c>
      <c r="E82" s="17" t="s">
        <v>23</v>
      </c>
      <c r="F82" s="18" t="s">
        <v>221</v>
      </c>
      <c r="G82" s="17"/>
      <c r="H82" s="17" t="s">
        <v>3</v>
      </c>
    </row>
    <row r="83" spans="1:8" ht="30" customHeight="1" x14ac:dyDescent="0.3">
      <c r="A83" s="17" t="s">
        <v>896</v>
      </c>
      <c r="B83" s="17" t="s">
        <v>218</v>
      </c>
      <c r="C83" s="18" t="s">
        <v>127</v>
      </c>
      <c r="D83" s="18" t="s">
        <v>897</v>
      </c>
      <c r="E83" s="17" t="s">
        <v>23</v>
      </c>
      <c r="F83" s="18" t="s">
        <v>221</v>
      </c>
      <c r="G83" s="17"/>
      <c r="H83" s="17" t="s">
        <v>3</v>
      </c>
    </row>
    <row r="84" spans="1:8" ht="30" customHeight="1" x14ac:dyDescent="0.3">
      <c r="A84" s="17" t="s">
        <v>898</v>
      </c>
      <c r="B84" s="17" t="s">
        <v>218</v>
      </c>
      <c r="C84" s="18" t="s">
        <v>84</v>
      </c>
      <c r="D84" s="18" t="s">
        <v>899</v>
      </c>
      <c r="E84" s="17" t="s">
        <v>23</v>
      </c>
      <c r="F84" s="18" t="s">
        <v>221</v>
      </c>
      <c r="G84" s="17"/>
      <c r="H84" s="17" t="s">
        <v>3</v>
      </c>
    </row>
    <row r="85" spans="1:8" ht="30" customHeight="1" x14ac:dyDescent="0.3">
      <c r="A85" s="17" t="s">
        <v>900</v>
      </c>
      <c r="B85" s="17" t="s">
        <v>218</v>
      </c>
      <c r="C85" s="18" t="s">
        <v>84</v>
      </c>
      <c r="D85" s="18" t="s">
        <v>901</v>
      </c>
      <c r="E85" s="17" t="s">
        <v>23</v>
      </c>
      <c r="F85" s="18" t="s">
        <v>221</v>
      </c>
      <c r="G85" s="17"/>
      <c r="H85" s="17" t="s">
        <v>3</v>
      </c>
    </row>
    <row r="86" spans="1:8" ht="30" customHeight="1" x14ac:dyDescent="0.3">
      <c r="A86" s="17" t="s">
        <v>902</v>
      </c>
      <c r="B86" s="17" t="s">
        <v>218</v>
      </c>
      <c r="C86" s="18" t="s">
        <v>127</v>
      </c>
      <c r="D86" s="18" t="s">
        <v>903</v>
      </c>
      <c r="E86" s="17" t="s">
        <v>23</v>
      </c>
      <c r="F86" s="18" t="s">
        <v>221</v>
      </c>
      <c r="G86" s="17"/>
      <c r="H86" s="17" t="s">
        <v>3</v>
      </c>
    </row>
    <row r="87" spans="1:8" ht="30" customHeight="1" x14ac:dyDescent="0.3">
      <c r="A87" s="17" t="s">
        <v>904</v>
      </c>
      <c r="B87" s="17" t="s">
        <v>218</v>
      </c>
      <c r="C87" s="18" t="s">
        <v>127</v>
      </c>
      <c r="D87" s="18" t="s">
        <v>905</v>
      </c>
      <c r="E87" s="17" t="s">
        <v>23</v>
      </c>
      <c r="F87" s="18" t="s">
        <v>221</v>
      </c>
      <c r="G87" s="17"/>
      <c r="H87" s="17" t="s">
        <v>3</v>
      </c>
    </row>
    <row r="88" spans="1:8" ht="30" customHeight="1" x14ac:dyDescent="0.3">
      <c r="A88" s="17" t="s">
        <v>906</v>
      </c>
      <c r="B88" s="17" t="s">
        <v>255</v>
      </c>
      <c r="C88" s="18" t="s">
        <v>907</v>
      </c>
      <c r="D88" s="18" t="s">
        <v>908</v>
      </c>
      <c r="E88" s="17" t="s">
        <v>22</v>
      </c>
      <c r="F88" s="18" t="s">
        <v>258</v>
      </c>
      <c r="G88" s="17"/>
      <c r="H88" s="17" t="s">
        <v>3</v>
      </c>
    </row>
    <row r="89" spans="1:8" ht="30" customHeight="1" x14ac:dyDescent="0.3">
      <c r="A89" s="17" t="s">
        <v>909</v>
      </c>
      <c r="B89" s="17" t="s">
        <v>255</v>
      </c>
      <c r="C89" s="18" t="s">
        <v>907</v>
      </c>
      <c r="D89" s="18" t="s">
        <v>910</v>
      </c>
      <c r="E89" s="17" t="s">
        <v>22</v>
      </c>
      <c r="F89" s="18" t="s">
        <v>258</v>
      </c>
      <c r="G89" s="17"/>
      <c r="H89" s="17" t="s">
        <v>3</v>
      </c>
    </row>
    <row r="90" spans="1:8" ht="30" customHeight="1" x14ac:dyDescent="0.3">
      <c r="A90" s="17" t="s">
        <v>911</v>
      </c>
      <c r="B90" s="17" t="s">
        <v>255</v>
      </c>
      <c r="C90" s="18" t="s">
        <v>907</v>
      </c>
      <c r="D90" s="18" t="s">
        <v>912</v>
      </c>
      <c r="E90" s="17" t="s">
        <v>22</v>
      </c>
      <c r="F90" s="18" t="s">
        <v>258</v>
      </c>
      <c r="G90" s="17"/>
      <c r="H90" s="17" t="s">
        <v>3</v>
      </c>
    </row>
    <row r="91" spans="1:8" ht="30" customHeight="1" x14ac:dyDescent="0.3">
      <c r="A91" s="17" t="s">
        <v>913</v>
      </c>
      <c r="B91" s="17" t="s">
        <v>255</v>
      </c>
      <c r="C91" s="18" t="s">
        <v>907</v>
      </c>
      <c r="D91" s="18" t="s">
        <v>914</v>
      </c>
      <c r="E91" s="17" t="s">
        <v>22</v>
      </c>
      <c r="F91" s="18" t="s">
        <v>258</v>
      </c>
      <c r="G91" s="17"/>
      <c r="H91" s="17" t="s">
        <v>3</v>
      </c>
    </row>
    <row r="92" spans="1:8" ht="30" customHeight="1" x14ac:dyDescent="0.3">
      <c r="A92" s="17" t="s">
        <v>915</v>
      </c>
      <c r="B92" s="17" t="s">
        <v>274</v>
      </c>
      <c r="C92" s="18" t="s">
        <v>275</v>
      </c>
      <c r="D92" s="18" t="s">
        <v>916</v>
      </c>
      <c r="E92" s="17" t="s">
        <v>23</v>
      </c>
      <c r="F92" s="18" t="s">
        <v>277</v>
      </c>
      <c r="G92" s="17"/>
      <c r="H92" s="17" t="s">
        <v>3</v>
      </c>
    </row>
    <row r="93" spans="1:8" ht="30" customHeight="1" x14ac:dyDescent="0.3">
      <c r="A93" s="17" t="s">
        <v>917</v>
      </c>
      <c r="B93" s="17" t="s">
        <v>274</v>
      </c>
      <c r="C93" s="18" t="s">
        <v>275</v>
      </c>
      <c r="D93" s="18" t="s">
        <v>918</v>
      </c>
      <c r="E93" s="17" t="s">
        <v>23</v>
      </c>
      <c r="F93" s="18" t="s">
        <v>277</v>
      </c>
      <c r="G93" s="17"/>
      <c r="H93" s="17" t="s">
        <v>3</v>
      </c>
    </row>
    <row r="94" spans="1:8" ht="30" customHeight="1" x14ac:dyDescent="0.3">
      <c r="A94" s="17" t="s">
        <v>919</v>
      </c>
      <c r="B94" s="17" t="s">
        <v>274</v>
      </c>
      <c r="C94" s="18" t="s">
        <v>275</v>
      </c>
      <c r="D94" s="18" t="s">
        <v>920</v>
      </c>
      <c r="E94" s="17" t="s">
        <v>23</v>
      </c>
      <c r="F94" s="18" t="s">
        <v>277</v>
      </c>
      <c r="G94" s="17"/>
      <c r="H94" s="17" t="s">
        <v>3</v>
      </c>
    </row>
    <row r="95" spans="1:8" ht="30" customHeight="1" x14ac:dyDescent="0.3">
      <c r="A95" s="17" t="s">
        <v>921</v>
      </c>
      <c r="B95" s="17" t="s">
        <v>274</v>
      </c>
      <c r="C95" s="18" t="s">
        <v>275</v>
      </c>
      <c r="D95" s="18" t="s">
        <v>922</v>
      </c>
      <c r="E95" s="17" t="s">
        <v>23</v>
      </c>
      <c r="F95" s="18" t="s">
        <v>277</v>
      </c>
      <c r="G95" s="17"/>
      <c r="H95" s="17" t="s">
        <v>3</v>
      </c>
    </row>
    <row r="96" spans="1:8" ht="30" customHeight="1" x14ac:dyDescent="0.3">
      <c r="A96" s="17" t="s">
        <v>923</v>
      </c>
      <c r="B96" s="17" t="s">
        <v>274</v>
      </c>
      <c r="C96" s="18" t="s">
        <v>924</v>
      </c>
      <c r="D96" s="18" t="s">
        <v>925</v>
      </c>
      <c r="E96" s="17" t="s">
        <v>23</v>
      </c>
      <c r="F96" s="18" t="s">
        <v>277</v>
      </c>
      <c r="G96" s="17"/>
      <c r="H96" s="17" t="s">
        <v>3</v>
      </c>
    </row>
    <row r="97" spans="1:8" ht="30" customHeight="1" x14ac:dyDescent="0.3">
      <c r="A97" s="17" t="s">
        <v>926</v>
      </c>
      <c r="B97" s="17" t="s">
        <v>274</v>
      </c>
      <c r="C97" s="18" t="s">
        <v>924</v>
      </c>
      <c r="D97" s="18" t="s">
        <v>927</v>
      </c>
      <c r="E97" s="17" t="s">
        <v>23</v>
      </c>
      <c r="F97" s="18" t="s">
        <v>277</v>
      </c>
      <c r="G97" s="17"/>
      <c r="H97" s="17" t="s">
        <v>3</v>
      </c>
    </row>
    <row r="98" spans="1:8" ht="30" customHeight="1" x14ac:dyDescent="0.3">
      <c r="A98" s="17" t="s">
        <v>928</v>
      </c>
      <c r="B98" s="17" t="s">
        <v>274</v>
      </c>
      <c r="C98" s="18" t="s">
        <v>929</v>
      </c>
      <c r="D98" s="18" t="s">
        <v>930</v>
      </c>
      <c r="E98" s="17" t="s">
        <v>23</v>
      </c>
      <c r="F98" s="18" t="s">
        <v>277</v>
      </c>
      <c r="G98" s="17"/>
      <c r="H98" s="17" t="s">
        <v>3</v>
      </c>
    </row>
    <row r="99" spans="1:8" ht="30" customHeight="1" x14ac:dyDescent="0.3">
      <c r="A99" s="17" t="s">
        <v>931</v>
      </c>
      <c r="B99" s="17" t="s">
        <v>274</v>
      </c>
      <c r="C99" s="18" t="s">
        <v>305</v>
      </c>
      <c r="D99" s="18" t="s">
        <v>932</v>
      </c>
      <c r="E99" s="17" t="s">
        <v>23</v>
      </c>
      <c r="F99" s="18" t="s">
        <v>277</v>
      </c>
      <c r="G99" s="17"/>
      <c r="H99" s="17" t="s">
        <v>3</v>
      </c>
    </row>
    <row r="100" spans="1:8" ht="30" customHeight="1" x14ac:dyDescent="0.3">
      <c r="A100" s="17" t="s">
        <v>933</v>
      </c>
      <c r="B100" s="17" t="s">
        <v>274</v>
      </c>
      <c r="C100" s="18" t="s">
        <v>305</v>
      </c>
      <c r="D100" s="18" t="s">
        <v>934</v>
      </c>
      <c r="E100" s="17" t="s">
        <v>23</v>
      </c>
      <c r="F100" s="18" t="s">
        <v>277</v>
      </c>
      <c r="G100" s="17"/>
      <c r="H100" s="17" t="s">
        <v>3</v>
      </c>
    </row>
  </sheetData>
  <conditionalFormatting sqref="E2:E100">
    <cfRule type="cellIs" dxfId="49" priority="2" operator="equal">
      <formula>"🟥 Critical"</formula>
    </cfRule>
    <cfRule type="cellIs" dxfId="48" priority="3" operator="equal">
      <formula>"🟧 High"</formula>
    </cfRule>
    <cfRule type="cellIs" dxfId="47" priority="4" operator="equal">
      <formula>"🟨 Medium"</formula>
    </cfRule>
    <cfRule type="cellIs" dxfId="46" priority="5" operator="equal">
      <formula>"🟩 Low"</formula>
    </cfRule>
  </conditionalFormatting>
  <conditionalFormatting sqref="H2:H100">
    <cfRule type="cellIs" dxfId="45" priority="6" operator="equal">
      <formula>"⬜ Not Started"</formula>
    </cfRule>
    <cfRule type="cellIs" dxfId="44" priority="7" operator="equal">
      <formula>"🟦 In Progress"</formula>
    </cfRule>
    <cfRule type="cellIs" dxfId="43" priority="8" operator="equal">
      <formula>"🟨 Testing"</formula>
    </cfRule>
    <cfRule type="cellIs" dxfId="42" priority="9" operator="equal">
      <formula>"🟪 Review"</formula>
    </cfRule>
    <cfRule type="cellIs" dxfId="41" priority="10" operator="equal">
      <formula>"🟩 Complete"</formula>
    </cfRule>
    <cfRule type="cellIs" dxfId="40" priority="11" operator="equal">
      <formula>"🔴 Blocked"</formula>
    </cfRule>
  </conditionalFormatting>
  <dataValidations count="2">
    <dataValidation type="list" sqref="E2:E100" xr:uid="{00000000-0002-0000-0400-000000000000}">
      <formula1>"🟥 Critical,🟧 High,🟨 Medium,🟩 Low"</formula1>
      <formula2>0</formula2>
    </dataValidation>
    <dataValidation type="list" sqref="H2:H100" xr:uid="{00000000-0002-0000-0400-000001000000}">
      <formula1>"⬜ Not Started,🟦 In Progress,🟨 Testing,🟪 Review,🟩 Complete,🔴 Blocked"</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5"/>
  <sheetViews>
    <sheetView zoomScaleNormal="100" workbookViewId="0">
      <pane ySplit="1" topLeftCell="A28" activePane="bottomLeft" state="frozen"/>
      <selection pane="bottomLeft"/>
    </sheetView>
  </sheetViews>
  <sheetFormatPr defaultColWidth="8.6640625" defaultRowHeight="14.4" x14ac:dyDescent="0.3"/>
  <cols>
    <col min="1" max="1" width="10" customWidth="1"/>
    <col min="2" max="2" width="22" customWidth="1"/>
    <col min="3" max="3" width="24" customWidth="1"/>
    <col min="4" max="4" width="52" customWidth="1"/>
    <col min="5" max="5" width="14" customWidth="1"/>
    <col min="6" max="6" width="20" customWidth="1"/>
    <col min="7" max="7" width="14" customWidth="1"/>
    <col min="8" max="8" width="16" customWidth="1"/>
  </cols>
  <sheetData>
    <row r="1" spans="1:8" ht="30" customHeight="1" x14ac:dyDescent="0.3">
      <c r="A1" s="3" t="s">
        <v>25</v>
      </c>
      <c r="B1" s="3" t="s">
        <v>26</v>
      </c>
      <c r="C1" s="3" t="s">
        <v>27</v>
      </c>
      <c r="D1" s="3" t="s">
        <v>28</v>
      </c>
      <c r="E1" s="3" t="s">
        <v>29</v>
      </c>
      <c r="F1" s="3" t="s">
        <v>30</v>
      </c>
      <c r="G1" s="3" t="s">
        <v>31</v>
      </c>
      <c r="H1" s="3" t="s">
        <v>32</v>
      </c>
    </row>
    <row r="2" spans="1:8" ht="30" customHeight="1" x14ac:dyDescent="0.3">
      <c r="A2" s="17" t="s">
        <v>935</v>
      </c>
      <c r="B2" s="17" t="s">
        <v>218</v>
      </c>
      <c r="C2" s="18" t="s">
        <v>936</v>
      </c>
      <c r="D2" s="18" t="s">
        <v>937</v>
      </c>
      <c r="E2" s="17" t="s">
        <v>22</v>
      </c>
      <c r="F2" s="18" t="s">
        <v>938</v>
      </c>
      <c r="G2" s="17"/>
      <c r="H2" s="17" t="s">
        <v>3</v>
      </c>
    </row>
    <row r="3" spans="1:8" ht="30" customHeight="1" x14ac:dyDescent="0.3">
      <c r="A3" s="17" t="s">
        <v>939</v>
      </c>
      <c r="B3" s="17" t="s">
        <v>218</v>
      </c>
      <c r="C3" s="18" t="s">
        <v>936</v>
      </c>
      <c r="D3" s="18" t="s">
        <v>940</v>
      </c>
      <c r="E3" s="17" t="s">
        <v>22</v>
      </c>
      <c r="F3" s="18" t="s">
        <v>938</v>
      </c>
      <c r="G3" s="17"/>
      <c r="H3" s="17" t="s">
        <v>3</v>
      </c>
    </row>
    <row r="4" spans="1:8" ht="30" customHeight="1" x14ac:dyDescent="0.3">
      <c r="A4" s="17" t="s">
        <v>941</v>
      </c>
      <c r="B4" s="17" t="s">
        <v>218</v>
      </c>
      <c r="C4" s="18" t="s">
        <v>936</v>
      </c>
      <c r="D4" s="18" t="s">
        <v>942</v>
      </c>
      <c r="E4" s="17" t="s">
        <v>22</v>
      </c>
      <c r="F4" s="18" t="s">
        <v>938</v>
      </c>
      <c r="G4" s="17"/>
      <c r="H4" s="17" t="s">
        <v>3</v>
      </c>
    </row>
    <row r="5" spans="1:8" ht="30" customHeight="1" x14ac:dyDescent="0.3">
      <c r="A5" s="17" t="s">
        <v>943</v>
      </c>
      <c r="B5" s="17" t="s">
        <v>218</v>
      </c>
      <c r="C5" s="18" t="s">
        <v>936</v>
      </c>
      <c r="D5" s="18" t="s">
        <v>944</v>
      </c>
      <c r="E5" s="17" t="s">
        <v>23</v>
      </c>
      <c r="F5" s="18" t="s">
        <v>938</v>
      </c>
      <c r="G5" s="17"/>
      <c r="H5" s="17" t="s">
        <v>3</v>
      </c>
    </row>
    <row r="6" spans="1:8" ht="30" customHeight="1" x14ac:dyDescent="0.3">
      <c r="A6" s="17" t="s">
        <v>945</v>
      </c>
      <c r="B6" s="17" t="s">
        <v>218</v>
      </c>
      <c r="C6" s="18" t="s">
        <v>936</v>
      </c>
      <c r="D6" s="18" t="s">
        <v>946</v>
      </c>
      <c r="E6" s="17" t="s">
        <v>22</v>
      </c>
      <c r="F6" s="18" t="s">
        <v>938</v>
      </c>
      <c r="G6" s="17"/>
      <c r="H6" s="17" t="s">
        <v>3</v>
      </c>
    </row>
    <row r="7" spans="1:8" ht="30" customHeight="1" x14ac:dyDescent="0.3">
      <c r="A7" s="17" t="s">
        <v>947</v>
      </c>
      <c r="B7" s="17" t="s">
        <v>218</v>
      </c>
      <c r="C7" s="18" t="s">
        <v>936</v>
      </c>
      <c r="D7" s="18" t="s">
        <v>948</v>
      </c>
      <c r="E7" s="17" t="s">
        <v>23</v>
      </c>
      <c r="F7" s="18" t="s">
        <v>938</v>
      </c>
      <c r="G7" s="17"/>
      <c r="H7" s="17" t="s">
        <v>3</v>
      </c>
    </row>
    <row r="8" spans="1:8" ht="30" customHeight="1" x14ac:dyDescent="0.3">
      <c r="A8" s="17" t="s">
        <v>949</v>
      </c>
      <c r="B8" s="17" t="s">
        <v>218</v>
      </c>
      <c r="C8" s="18" t="s">
        <v>936</v>
      </c>
      <c r="D8" s="18" t="s">
        <v>950</v>
      </c>
      <c r="E8" s="17" t="s">
        <v>22</v>
      </c>
      <c r="F8" s="18" t="s">
        <v>938</v>
      </c>
      <c r="G8" s="17"/>
      <c r="H8" s="17" t="s">
        <v>3</v>
      </c>
    </row>
    <row r="9" spans="1:8" ht="30" customHeight="1" x14ac:dyDescent="0.3">
      <c r="A9" s="17" t="s">
        <v>951</v>
      </c>
      <c r="B9" s="17" t="s">
        <v>218</v>
      </c>
      <c r="C9" s="18" t="s">
        <v>936</v>
      </c>
      <c r="D9" s="18" t="s">
        <v>952</v>
      </c>
      <c r="E9" s="17" t="s">
        <v>22</v>
      </c>
      <c r="F9" s="18" t="s">
        <v>938</v>
      </c>
      <c r="G9" s="17"/>
      <c r="H9" s="17" t="s">
        <v>3</v>
      </c>
    </row>
    <row r="10" spans="1:8" ht="30" customHeight="1" x14ac:dyDescent="0.3">
      <c r="A10" s="17" t="s">
        <v>953</v>
      </c>
      <c r="B10" s="17" t="s">
        <v>218</v>
      </c>
      <c r="C10" s="18" t="s">
        <v>954</v>
      </c>
      <c r="D10" s="18" t="s">
        <v>955</v>
      </c>
      <c r="E10" s="17" t="s">
        <v>22</v>
      </c>
      <c r="F10" s="18" t="s">
        <v>938</v>
      </c>
      <c r="G10" s="17"/>
      <c r="H10" s="17" t="s">
        <v>3</v>
      </c>
    </row>
    <row r="11" spans="1:8" ht="30" customHeight="1" x14ac:dyDescent="0.3">
      <c r="A11" s="17" t="s">
        <v>956</v>
      </c>
      <c r="B11" s="17" t="s">
        <v>218</v>
      </c>
      <c r="C11" s="18" t="s">
        <v>954</v>
      </c>
      <c r="D11" s="18" t="s">
        <v>957</v>
      </c>
      <c r="E11" s="17" t="s">
        <v>22</v>
      </c>
      <c r="F11" s="18" t="s">
        <v>938</v>
      </c>
      <c r="G11" s="17"/>
      <c r="H11" s="17" t="s">
        <v>3</v>
      </c>
    </row>
    <row r="12" spans="1:8" ht="30" customHeight="1" x14ac:dyDescent="0.3">
      <c r="A12" s="17" t="s">
        <v>958</v>
      </c>
      <c r="B12" s="17" t="s">
        <v>218</v>
      </c>
      <c r="C12" s="18" t="s">
        <v>954</v>
      </c>
      <c r="D12" s="18" t="s">
        <v>959</v>
      </c>
      <c r="E12" s="17" t="s">
        <v>22</v>
      </c>
      <c r="F12" s="18" t="s">
        <v>938</v>
      </c>
      <c r="G12" s="17"/>
      <c r="H12" s="17" t="s">
        <v>3</v>
      </c>
    </row>
    <row r="13" spans="1:8" ht="30" customHeight="1" x14ac:dyDescent="0.3">
      <c r="A13" s="17" t="s">
        <v>960</v>
      </c>
      <c r="B13" s="17" t="s">
        <v>218</v>
      </c>
      <c r="C13" s="18" t="s">
        <v>954</v>
      </c>
      <c r="D13" s="18" t="s">
        <v>961</v>
      </c>
      <c r="E13" s="17" t="s">
        <v>23</v>
      </c>
      <c r="F13" s="18" t="s">
        <v>938</v>
      </c>
      <c r="G13" s="17"/>
      <c r="H13" s="17" t="s">
        <v>3</v>
      </c>
    </row>
    <row r="14" spans="1:8" ht="30" customHeight="1" x14ac:dyDescent="0.3">
      <c r="A14" s="17" t="s">
        <v>962</v>
      </c>
      <c r="B14" s="17" t="s">
        <v>218</v>
      </c>
      <c r="C14" s="18" t="s">
        <v>954</v>
      </c>
      <c r="D14" s="18" t="s">
        <v>963</v>
      </c>
      <c r="E14" s="17" t="s">
        <v>22</v>
      </c>
      <c r="F14" s="18" t="s">
        <v>938</v>
      </c>
      <c r="G14" s="17"/>
      <c r="H14" s="17" t="s">
        <v>3</v>
      </c>
    </row>
    <row r="15" spans="1:8" ht="30" customHeight="1" x14ac:dyDescent="0.3">
      <c r="A15" s="17" t="s">
        <v>964</v>
      </c>
      <c r="B15" s="17" t="s">
        <v>218</v>
      </c>
      <c r="C15" s="18" t="s">
        <v>965</v>
      </c>
      <c r="D15" s="18" t="s">
        <v>966</v>
      </c>
      <c r="E15" s="17" t="s">
        <v>22</v>
      </c>
      <c r="F15" s="18" t="s">
        <v>938</v>
      </c>
      <c r="G15" s="17"/>
      <c r="H15" s="17" t="s">
        <v>3</v>
      </c>
    </row>
    <row r="16" spans="1:8" ht="30" customHeight="1" x14ac:dyDescent="0.3">
      <c r="A16" s="17" t="s">
        <v>967</v>
      </c>
      <c r="B16" s="17" t="s">
        <v>218</v>
      </c>
      <c r="C16" s="18" t="s">
        <v>968</v>
      </c>
      <c r="D16" s="18" t="s">
        <v>969</v>
      </c>
      <c r="E16" s="17" t="s">
        <v>23</v>
      </c>
      <c r="F16" s="18" t="s">
        <v>938</v>
      </c>
      <c r="G16" s="17"/>
      <c r="H16" s="17" t="s">
        <v>3</v>
      </c>
    </row>
    <row r="17" spans="1:8" ht="30" customHeight="1" x14ac:dyDescent="0.3">
      <c r="A17" s="17" t="s">
        <v>970</v>
      </c>
      <c r="B17" s="17" t="s">
        <v>218</v>
      </c>
      <c r="C17" s="18" t="s">
        <v>968</v>
      </c>
      <c r="D17" s="18" t="s">
        <v>971</v>
      </c>
      <c r="E17" s="17" t="s">
        <v>23</v>
      </c>
      <c r="F17" s="18" t="s">
        <v>938</v>
      </c>
      <c r="G17" s="17"/>
      <c r="H17" s="17" t="s">
        <v>3</v>
      </c>
    </row>
    <row r="18" spans="1:8" ht="30" customHeight="1" x14ac:dyDescent="0.3">
      <c r="A18" s="17" t="s">
        <v>972</v>
      </c>
      <c r="B18" s="17" t="s">
        <v>218</v>
      </c>
      <c r="C18" s="18" t="s">
        <v>968</v>
      </c>
      <c r="D18" s="18" t="s">
        <v>973</v>
      </c>
      <c r="E18" s="17" t="s">
        <v>24</v>
      </c>
      <c r="F18" s="18" t="s">
        <v>938</v>
      </c>
      <c r="G18" s="17"/>
      <c r="H18" s="17" t="s">
        <v>3</v>
      </c>
    </row>
    <row r="19" spans="1:8" ht="30" customHeight="1" x14ac:dyDescent="0.3">
      <c r="A19" s="17" t="s">
        <v>974</v>
      </c>
      <c r="B19" s="17" t="s">
        <v>218</v>
      </c>
      <c r="C19" s="18" t="s">
        <v>975</v>
      </c>
      <c r="D19" s="18" t="s">
        <v>976</v>
      </c>
      <c r="E19" s="17" t="s">
        <v>22</v>
      </c>
      <c r="F19" s="18" t="s">
        <v>938</v>
      </c>
      <c r="G19" s="17"/>
      <c r="H19" s="17" t="s">
        <v>3</v>
      </c>
    </row>
    <row r="20" spans="1:8" ht="30" customHeight="1" x14ac:dyDescent="0.3">
      <c r="A20" s="17" t="s">
        <v>977</v>
      </c>
      <c r="B20" s="17" t="s">
        <v>218</v>
      </c>
      <c r="C20" s="18" t="s">
        <v>975</v>
      </c>
      <c r="D20" s="18" t="s">
        <v>978</v>
      </c>
      <c r="E20" s="17" t="s">
        <v>22</v>
      </c>
      <c r="F20" s="18" t="s">
        <v>938</v>
      </c>
      <c r="G20" s="17"/>
      <c r="H20" s="17" t="s">
        <v>3</v>
      </c>
    </row>
    <row r="21" spans="1:8" ht="30" customHeight="1" x14ac:dyDescent="0.3">
      <c r="A21" s="17" t="s">
        <v>979</v>
      </c>
      <c r="B21" s="17" t="s">
        <v>218</v>
      </c>
      <c r="C21" s="18" t="s">
        <v>975</v>
      </c>
      <c r="D21" s="18" t="s">
        <v>980</v>
      </c>
      <c r="E21" s="17" t="s">
        <v>24</v>
      </c>
      <c r="F21" s="18" t="s">
        <v>938</v>
      </c>
      <c r="G21" s="17"/>
      <c r="H21" s="17" t="s">
        <v>3</v>
      </c>
    </row>
    <row r="22" spans="1:8" ht="30" customHeight="1" x14ac:dyDescent="0.3">
      <c r="A22" s="17" t="s">
        <v>981</v>
      </c>
      <c r="B22" s="17" t="s">
        <v>218</v>
      </c>
      <c r="C22" s="18" t="s">
        <v>982</v>
      </c>
      <c r="D22" s="18" t="s">
        <v>983</v>
      </c>
      <c r="E22" s="17" t="s">
        <v>23</v>
      </c>
      <c r="F22" s="18" t="s">
        <v>938</v>
      </c>
      <c r="G22" s="17"/>
      <c r="H22" s="17" t="s">
        <v>3</v>
      </c>
    </row>
    <row r="23" spans="1:8" ht="30" customHeight="1" x14ac:dyDescent="0.3">
      <c r="A23" s="17" t="s">
        <v>984</v>
      </c>
      <c r="B23" s="17" t="s">
        <v>218</v>
      </c>
      <c r="C23" s="18" t="s">
        <v>982</v>
      </c>
      <c r="D23" s="18" t="s">
        <v>985</v>
      </c>
      <c r="E23" s="17" t="s">
        <v>24</v>
      </c>
      <c r="F23" s="18" t="s">
        <v>938</v>
      </c>
      <c r="G23" s="17"/>
      <c r="H23" s="17" t="s">
        <v>3</v>
      </c>
    </row>
    <row r="24" spans="1:8" ht="30" customHeight="1" x14ac:dyDescent="0.3">
      <c r="A24" s="17" t="s">
        <v>986</v>
      </c>
      <c r="B24" s="17" t="s">
        <v>218</v>
      </c>
      <c r="C24" s="18" t="s">
        <v>982</v>
      </c>
      <c r="D24" s="18" t="s">
        <v>987</v>
      </c>
      <c r="E24" s="17" t="s">
        <v>23</v>
      </c>
      <c r="F24" s="18" t="s">
        <v>938</v>
      </c>
      <c r="G24" s="17"/>
      <c r="H24" s="17" t="s">
        <v>3</v>
      </c>
    </row>
    <row r="25" spans="1:8" ht="30" customHeight="1" x14ac:dyDescent="0.3">
      <c r="A25" s="17" t="s">
        <v>988</v>
      </c>
      <c r="B25" s="17" t="s">
        <v>218</v>
      </c>
      <c r="C25" s="18" t="s">
        <v>982</v>
      </c>
      <c r="D25" s="18" t="s">
        <v>989</v>
      </c>
      <c r="E25" s="17" t="s">
        <v>24</v>
      </c>
      <c r="F25" s="18" t="s">
        <v>938</v>
      </c>
      <c r="G25" s="17"/>
      <c r="H25" s="17" t="s">
        <v>3</v>
      </c>
    </row>
    <row r="26" spans="1:8" ht="30" customHeight="1" x14ac:dyDescent="0.3">
      <c r="A26" s="17" t="s">
        <v>990</v>
      </c>
      <c r="B26" s="17" t="s">
        <v>218</v>
      </c>
      <c r="C26" s="18" t="s">
        <v>982</v>
      </c>
      <c r="D26" s="18" t="s">
        <v>991</v>
      </c>
      <c r="E26" s="17" t="s">
        <v>23</v>
      </c>
      <c r="F26" s="18" t="s">
        <v>938</v>
      </c>
      <c r="G26" s="17"/>
      <c r="H26" s="17" t="s">
        <v>3</v>
      </c>
    </row>
    <row r="27" spans="1:8" ht="30" customHeight="1" x14ac:dyDescent="0.3">
      <c r="A27" s="17" t="s">
        <v>992</v>
      </c>
      <c r="B27" s="17" t="s">
        <v>218</v>
      </c>
      <c r="C27" s="18" t="s">
        <v>982</v>
      </c>
      <c r="D27" s="18" t="s">
        <v>993</v>
      </c>
      <c r="E27" s="17" t="s">
        <v>23</v>
      </c>
      <c r="F27" s="18" t="s">
        <v>938</v>
      </c>
      <c r="G27" s="17"/>
      <c r="H27" s="17" t="s">
        <v>3</v>
      </c>
    </row>
    <row r="28" spans="1:8" ht="30" customHeight="1" x14ac:dyDescent="0.3">
      <c r="A28" s="17" t="s">
        <v>994</v>
      </c>
      <c r="B28" s="17" t="s">
        <v>218</v>
      </c>
      <c r="C28" s="18" t="s">
        <v>982</v>
      </c>
      <c r="D28" s="18" t="s">
        <v>995</v>
      </c>
      <c r="E28" s="17" t="s">
        <v>23</v>
      </c>
      <c r="F28" s="18" t="s">
        <v>938</v>
      </c>
      <c r="G28" s="17"/>
      <c r="H28" s="17" t="s">
        <v>3</v>
      </c>
    </row>
    <row r="29" spans="1:8" ht="30" customHeight="1" x14ac:dyDescent="0.3">
      <c r="A29" s="17" t="s">
        <v>996</v>
      </c>
      <c r="B29" s="17" t="s">
        <v>218</v>
      </c>
      <c r="C29" s="18" t="s">
        <v>997</v>
      </c>
      <c r="D29" s="18" t="s">
        <v>998</v>
      </c>
      <c r="E29" s="17" t="s">
        <v>22</v>
      </c>
      <c r="F29" s="18" t="s">
        <v>938</v>
      </c>
      <c r="G29" s="17"/>
      <c r="H29" s="17" t="s">
        <v>3</v>
      </c>
    </row>
    <row r="30" spans="1:8" ht="30" customHeight="1" x14ac:dyDescent="0.3">
      <c r="A30" s="17" t="s">
        <v>999</v>
      </c>
      <c r="B30" s="17" t="s">
        <v>218</v>
      </c>
      <c r="C30" s="18" t="s">
        <v>997</v>
      </c>
      <c r="D30" s="18" t="s">
        <v>1000</v>
      </c>
      <c r="E30" s="17" t="s">
        <v>22</v>
      </c>
      <c r="F30" s="18" t="s">
        <v>938</v>
      </c>
      <c r="G30" s="17"/>
      <c r="H30" s="17" t="s">
        <v>3</v>
      </c>
    </row>
    <row r="31" spans="1:8" ht="30" customHeight="1" x14ac:dyDescent="0.3">
      <c r="A31" s="17" t="s">
        <v>1001</v>
      </c>
      <c r="B31" s="17" t="s">
        <v>218</v>
      </c>
      <c r="C31" s="18" t="s">
        <v>1002</v>
      </c>
      <c r="D31" s="18" t="s">
        <v>1003</v>
      </c>
      <c r="E31" s="17" t="s">
        <v>22</v>
      </c>
      <c r="F31" s="18" t="s">
        <v>938</v>
      </c>
      <c r="G31" s="17"/>
      <c r="H31" s="17" t="s">
        <v>3</v>
      </c>
    </row>
    <row r="32" spans="1:8" ht="30" customHeight="1" x14ac:dyDescent="0.3">
      <c r="A32" s="17" t="s">
        <v>1004</v>
      </c>
      <c r="B32" s="17" t="s">
        <v>218</v>
      </c>
      <c r="C32" s="18" t="s">
        <v>1002</v>
      </c>
      <c r="D32" s="18" t="s">
        <v>1005</v>
      </c>
      <c r="E32" s="17" t="s">
        <v>23</v>
      </c>
      <c r="F32" s="18" t="s">
        <v>938</v>
      </c>
      <c r="G32" s="17"/>
      <c r="H32" s="17" t="s">
        <v>3</v>
      </c>
    </row>
    <row r="33" spans="1:8" ht="30" customHeight="1" x14ac:dyDescent="0.3">
      <c r="A33" s="17" t="s">
        <v>1006</v>
      </c>
      <c r="B33" s="17" t="s">
        <v>218</v>
      </c>
      <c r="C33" s="18" t="s">
        <v>1007</v>
      </c>
      <c r="D33" s="18" t="s">
        <v>1008</v>
      </c>
      <c r="E33" s="17" t="s">
        <v>22</v>
      </c>
      <c r="F33" s="18" t="s">
        <v>938</v>
      </c>
      <c r="G33" s="17"/>
      <c r="H33" s="17" t="s">
        <v>3</v>
      </c>
    </row>
    <row r="34" spans="1:8" ht="30" customHeight="1" x14ac:dyDescent="0.3">
      <c r="A34" s="17" t="s">
        <v>1009</v>
      </c>
      <c r="B34" s="17" t="s">
        <v>218</v>
      </c>
      <c r="C34" s="18" t="s">
        <v>1010</v>
      </c>
      <c r="D34" s="18" t="s">
        <v>1011</v>
      </c>
      <c r="E34" s="17" t="s">
        <v>23</v>
      </c>
      <c r="F34" s="18" t="s">
        <v>938</v>
      </c>
      <c r="G34" s="17"/>
      <c r="H34" s="17" t="s">
        <v>3</v>
      </c>
    </row>
    <row r="35" spans="1:8" ht="30" customHeight="1" x14ac:dyDescent="0.3">
      <c r="A35" s="17" t="s">
        <v>1012</v>
      </c>
      <c r="B35" s="17" t="s">
        <v>218</v>
      </c>
      <c r="C35" s="18" t="s">
        <v>1013</v>
      </c>
      <c r="D35" s="18" t="s">
        <v>1014</v>
      </c>
      <c r="E35" s="17" t="s">
        <v>24</v>
      </c>
      <c r="F35" s="18" t="s">
        <v>938</v>
      </c>
      <c r="G35" s="17"/>
      <c r="H35" s="17" t="s">
        <v>3</v>
      </c>
    </row>
  </sheetData>
  <conditionalFormatting sqref="E2:E35">
    <cfRule type="cellIs" dxfId="39" priority="2" operator="equal">
      <formula>"🟥 Critical"</formula>
    </cfRule>
    <cfRule type="cellIs" dxfId="38" priority="3" operator="equal">
      <formula>"🟧 High"</formula>
    </cfRule>
    <cfRule type="cellIs" dxfId="37" priority="4" operator="equal">
      <formula>"🟨 Medium"</formula>
    </cfRule>
    <cfRule type="cellIs" dxfId="36" priority="5" operator="equal">
      <formula>"🟩 Low"</formula>
    </cfRule>
  </conditionalFormatting>
  <conditionalFormatting sqref="H2:H35">
    <cfRule type="cellIs" dxfId="35" priority="6" operator="equal">
      <formula>"⬜ Not Started"</formula>
    </cfRule>
    <cfRule type="cellIs" dxfId="34" priority="7" operator="equal">
      <formula>"🟦 In Progress"</formula>
    </cfRule>
    <cfRule type="cellIs" dxfId="33" priority="8" operator="equal">
      <formula>"🟨 Testing"</formula>
    </cfRule>
    <cfRule type="cellIs" dxfId="32" priority="9" operator="equal">
      <formula>"🟪 Review"</formula>
    </cfRule>
    <cfRule type="cellIs" dxfId="31" priority="10" operator="equal">
      <formula>"🟩 Complete"</formula>
    </cfRule>
    <cfRule type="cellIs" dxfId="30" priority="11" operator="equal">
      <formula>"🔴 Blocked"</formula>
    </cfRule>
  </conditionalFormatting>
  <dataValidations count="2">
    <dataValidation type="list" sqref="E2:E35" xr:uid="{00000000-0002-0000-0500-000000000000}">
      <formula1>"🟥 Critical,🟧 High,🟨 Medium,🟩 Low"</formula1>
      <formula2>0</formula2>
    </dataValidation>
    <dataValidation type="list" sqref="H2:H35" xr:uid="{00000000-0002-0000-0500-000001000000}">
      <formula1>"⬜ Not Started,🟦 In Progress,🟨 Testing,🟪 Review,🟩 Complete,🔴 Blocked"</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6"/>
  <sheetViews>
    <sheetView zoomScaleNormal="100" workbookViewId="0">
      <pane ySplit="1" topLeftCell="A23" activePane="bottomLeft" state="frozen"/>
      <selection pane="bottomLeft" activeCell="I4" sqref="I4"/>
    </sheetView>
  </sheetViews>
  <sheetFormatPr defaultColWidth="8.6640625" defaultRowHeight="14.4" x14ac:dyDescent="0.3"/>
  <cols>
    <col min="1" max="1" width="10" customWidth="1"/>
    <col min="2" max="2" width="22" customWidth="1"/>
    <col min="3" max="3" width="24" customWidth="1"/>
    <col min="4" max="4" width="52" customWidth="1"/>
    <col min="5" max="5" width="14" customWidth="1"/>
    <col min="6" max="6" width="20" customWidth="1"/>
    <col min="7" max="7" width="14" customWidth="1"/>
    <col min="8" max="8" width="16" customWidth="1"/>
  </cols>
  <sheetData>
    <row r="1" spans="1:8" ht="30" customHeight="1" x14ac:dyDescent="0.3">
      <c r="A1" s="3" t="s">
        <v>25</v>
      </c>
      <c r="B1" s="3" t="s">
        <v>26</v>
      </c>
      <c r="C1" s="3" t="s">
        <v>27</v>
      </c>
      <c r="D1" s="3" t="s">
        <v>28</v>
      </c>
      <c r="E1" s="3" t="s">
        <v>29</v>
      </c>
      <c r="F1" s="3" t="s">
        <v>30</v>
      </c>
      <c r="G1" s="3" t="s">
        <v>31</v>
      </c>
      <c r="H1" s="3" t="s">
        <v>32</v>
      </c>
    </row>
    <row r="2" spans="1:8" ht="30" customHeight="1" x14ac:dyDescent="0.3">
      <c r="A2" s="17" t="s">
        <v>1015</v>
      </c>
      <c r="B2" s="17" t="s">
        <v>34</v>
      </c>
      <c r="C2" s="18" t="s">
        <v>1016</v>
      </c>
      <c r="D2" s="18" t="s">
        <v>1017</v>
      </c>
      <c r="E2" s="17" t="s">
        <v>21</v>
      </c>
      <c r="F2" s="18" t="s">
        <v>1018</v>
      </c>
      <c r="G2" s="17"/>
      <c r="H2" s="17" t="s">
        <v>5</v>
      </c>
    </row>
    <row r="3" spans="1:8" ht="30" customHeight="1" x14ac:dyDescent="0.3">
      <c r="A3" s="17" t="s">
        <v>1019</v>
      </c>
      <c r="B3" s="17" t="s">
        <v>34</v>
      </c>
      <c r="C3" s="18" t="s">
        <v>1020</v>
      </c>
      <c r="D3" s="18" t="s">
        <v>1021</v>
      </c>
      <c r="E3" s="17" t="s">
        <v>21</v>
      </c>
      <c r="F3" s="18" t="s">
        <v>1018</v>
      </c>
      <c r="G3" s="17"/>
      <c r="H3" s="17" t="s">
        <v>5</v>
      </c>
    </row>
    <row r="4" spans="1:8" ht="30" customHeight="1" x14ac:dyDescent="0.3">
      <c r="A4" s="17" t="s">
        <v>1022</v>
      </c>
      <c r="B4" s="17" t="s">
        <v>83</v>
      </c>
      <c r="C4" s="18" t="s">
        <v>1016</v>
      </c>
      <c r="D4" s="18" t="s">
        <v>1023</v>
      </c>
      <c r="E4" s="17" t="s">
        <v>22</v>
      </c>
      <c r="F4" s="18" t="s">
        <v>1018</v>
      </c>
      <c r="G4" s="17"/>
      <c r="H4" s="17" t="s">
        <v>3</v>
      </c>
    </row>
    <row r="5" spans="1:8" ht="30" customHeight="1" x14ac:dyDescent="0.3">
      <c r="A5" s="17" t="s">
        <v>1024</v>
      </c>
      <c r="B5" s="17" t="s">
        <v>83</v>
      </c>
      <c r="C5" s="18" t="s">
        <v>1025</v>
      </c>
      <c r="D5" s="18" t="s">
        <v>1026</v>
      </c>
      <c r="E5" s="17" t="s">
        <v>23</v>
      </c>
      <c r="F5" s="18" t="s">
        <v>1018</v>
      </c>
      <c r="G5" s="17"/>
      <c r="H5" s="17" t="s">
        <v>3</v>
      </c>
    </row>
    <row r="6" spans="1:8" ht="30" customHeight="1" x14ac:dyDescent="0.3">
      <c r="A6" s="17" t="s">
        <v>1027</v>
      </c>
      <c r="B6" s="17" t="s">
        <v>126</v>
      </c>
      <c r="C6" s="18" t="s">
        <v>1016</v>
      </c>
      <c r="D6" s="18" t="s">
        <v>1028</v>
      </c>
      <c r="E6" s="17" t="s">
        <v>22</v>
      </c>
      <c r="F6" s="18" t="s">
        <v>1018</v>
      </c>
      <c r="G6" s="17"/>
      <c r="H6" s="17" t="s">
        <v>3</v>
      </c>
    </row>
    <row r="7" spans="1:8" ht="30" customHeight="1" x14ac:dyDescent="0.3">
      <c r="A7" s="17" t="s">
        <v>1029</v>
      </c>
      <c r="B7" s="17" t="s">
        <v>126</v>
      </c>
      <c r="C7" s="18" t="s">
        <v>1025</v>
      </c>
      <c r="D7" s="18" t="s">
        <v>1030</v>
      </c>
      <c r="E7" s="17" t="s">
        <v>23</v>
      </c>
      <c r="F7" s="18" t="s">
        <v>1018</v>
      </c>
      <c r="G7" s="17"/>
      <c r="H7" s="17" t="s">
        <v>3</v>
      </c>
    </row>
    <row r="8" spans="1:8" ht="30" customHeight="1" x14ac:dyDescent="0.3">
      <c r="A8" s="17" t="s">
        <v>1031</v>
      </c>
      <c r="B8" s="17" t="s">
        <v>175</v>
      </c>
      <c r="C8" s="18" t="s">
        <v>1032</v>
      </c>
      <c r="D8" s="18" t="s">
        <v>1033</v>
      </c>
      <c r="E8" s="17" t="s">
        <v>21</v>
      </c>
      <c r="F8" s="18" t="s">
        <v>1018</v>
      </c>
      <c r="G8" s="17"/>
      <c r="H8" s="17" t="s">
        <v>3</v>
      </c>
    </row>
    <row r="9" spans="1:8" ht="30" customHeight="1" x14ac:dyDescent="0.3">
      <c r="A9" s="17" t="s">
        <v>1034</v>
      </c>
      <c r="B9" s="17" t="s">
        <v>175</v>
      </c>
      <c r="C9" s="18" t="s">
        <v>1032</v>
      </c>
      <c r="D9" s="18" t="s">
        <v>1035</v>
      </c>
      <c r="E9" s="17" t="s">
        <v>22</v>
      </c>
      <c r="F9" s="18" t="s">
        <v>1018</v>
      </c>
      <c r="G9" s="17"/>
      <c r="H9" s="17" t="s">
        <v>3</v>
      </c>
    </row>
    <row r="10" spans="1:8" ht="30" customHeight="1" x14ac:dyDescent="0.3">
      <c r="A10" s="17" t="s">
        <v>1036</v>
      </c>
      <c r="B10" s="17" t="s">
        <v>175</v>
      </c>
      <c r="C10" s="18" t="s">
        <v>1032</v>
      </c>
      <c r="D10" s="18" t="s">
        <v>1037</v>
      </c>
      <c r="E10" s="17" t="s">
        <v>22</v>
      </c>
      <c r="F10" s="18" t="s">
        <v>1018</v>
      </c>
      <c r="G10" s="17"/>
      <c r="H10" s="17" t="s">
        <v>3</v>
      </c>
    </row>
    <row r="11" spans="1:8" ht="30" customHeight="1" x14ac:dyDescent="0.3">
      <c r="A11" s="17" t="s">
        <v>1038</v>
      </c>
      <c r="B11" s="17" t="s">
        <v>175</v>
      </c>
      <c r="C11" s="18" t="s">
        <v>1039</v>
      </c>
      <c r="D11" s="18" t="s">
        <v>1040</v>
      </c>
      <c r="E11" s="17" t="s">
        <v>22</v>
      </c>
      <c r="F11" s="18" t="s">
        <v>1018</v>
      </c>
      <c r="G11" s="17"/>
      <c r="H11" s="17" t="s">
        <v>3</v>
      </c>
    </row>
    <row r="12" spans="1:8" ht="30" customHeight="1" x14ac:dyDescent="0.3">
      <c r="A12" s="17" t="s">
        <v>1041</v>
      </c>
      <c r="B12" s="17" t="s">
        <v>175</v>
      </c>
      <c r="C12" s="18" t="s">
        <v>1039</v>
      </c>
      <c r="D12" s="18" t="s">
        <v>1042</v>
      </c>
      <c r="E12" s="17" t="s">
        <v>22</v>
      </c>
      <c r="F12" s="18" t="s">
        <v>1018</v>
      </c>
      <c r="G12" s="17"/>
      <c r="H12" s="17" t="s">
        <v>3</v>
      </c>
    </row>
    <row r="13" spans="1:8" ht="30" customHeight="1" x14ac:dyDescent="0.3">
      <c r="A13" s="17" t="s">
        <v>1043</v>
      </c>
      <c r="B13" s="17" t="s">
        <v>218</v>
      </c>
      <c r="C13" s="18" t="s">
        <v>1016</v>
      </c>
      <c r="D13" s="18" t="s">
        <v>1044</v>
      </c>
      <c r="E13" s="17" t="s">
        <v>22</v>
      </c>
      <c r="F13" s="18" t="s">
        <v>1018</v>
      </c>
      <c r="G13" s="17"/>
      <c r="H13" s="17" t="s">
        <v>3</v>
      </c>
    </row>
    <row r="14" spans="1:8" ht="30" customHeight="1" x14ac:dyDescent="0.3">
      <c r="A14" s="17" t="s">
        <v>1045</v>
      </c>
      <c r="B14" s="17" t="s">
        <v>218</v>
      </c>
      <c r="C14" s="18" t="s">
        <v>1016</v>
      </c>
      <c r="D14" s="18" t="s">
        <v>1046</v>
      </c>
      <c r="E14" s="17" t="s">
        <v>22</v>
      </c>
      <c r="F14" s="18" t="s">
        <v>1018</v>
      </c>
      <c r="G14" s="17"/>
      <c r="H14" s="17" t="s">
        <v>3</v>
      </c>
    </row>
    <row r="15" spans="1:8" ht="30" customHeight="1" x14ac:dyDescent="0.3">
      <c r="A15" s="17" t="s">
        <v>1047</v>
      </c>
      <c r="B15" s="17" t="s">
        <v>218</v>
      </c>
      <c r="C15" s="18" t="s">
        <v>1016</v>
      </c>
      <c r="D15" s="18" t="s">
        <v>1048</v>
      </c>
      <c r="E15" s="17" t="s">
        <v>23</v>
      </c>
      <c r="F15" s="18" t="s">
        <v>1018</v>
      </c>
      <c r="G15" s="17"/>
      <c r="H15" s="17" t="s">
        <v>3</v>
      </c>
    </row>
    <row r="16" spans="1:8" ht="30" customHeight="1" x14ac:dyDescent="0.3">
      <c r="A16" s="17" t="s">
        <v>1049</v>
      </c>
      <c r="B16" s="17" t="s">
        <v>255</v>
      </c>
      <c r="C16" s="18" t="s">
        <v>1039</v>
      </c>
      <c r="D16" s="18" t="s">
        <v>1050</v>
      </c>
      <c r="E16" s="17" t="s">
        <v>22</v>
      </c>
      <c r="F16" s="18" t="s">
        <v>1018</v>
      </c>
      <c r="G16" s="17"/>
      <c r="H16" s="17" t="s">
        <v>3</v>
      </c>
    </row>
    <row r="17" spans="1:8" ht="30" customHeight="1" x14ac:dyDescent="0.3">
      <c r="A17" s="17" t="s">
        <v>1051</v>
      </c>
      <c r="B17" s="17" t="s">
        <v>274</v>
      </c>
      <c r="C17" s="18" t="s">
        <v>1032</v>
      </c>
      <c r="D17" s="18" t="s">
        <v>1052</v>
      </c>
      <c r="E17" s="17" t="s">
        <v>23</v>
      </c>
      <c r="F17" s="18" t="s">
        <v>1018</v>
      </c>
      <c r="G17" s="17"/>
      <c r="H17" s="17" t="s">
        <v>3</v>
      </c>
    </row>
    <row r="18" spans="1:8" ht="30" customHeight="1" x14ac:dyDescent="0.3">
      <c r="A18" s="17" t="s">
        <v>1053</v>
      </c>
      <c r="B18" s="17" t="s">
        <v>13</v>
      </c>
      <c r="C18" s="18" t="s">
        <v>1054</v>
      </c>
      <c r="D18" s="18" t="s">
        <v>1055</v>
      </c>
      <c r="E18" s="17" t="s">
        <v>21</v>
      </c>
      <c r="F18" s="18" t="s">
        <v>1018</v>
      </c>
      <c r="G18" s="17"/>
      <c r="H18" s="17" t="s">
        <v>3</v>
      </c>
    </row>
    <row r="19" spans="1:8" ht="30" customHeight="1" x14ac:dyDescent="0.3">
      <c r="A19" s="17" t="s">
        <v>1056</v>
      </c>
      <c r="B19" s="17" t="s">
        <v>13</v>
      </c>
      <c r="C19" s="18" t="s">
        <v>1054</v>
      </c>
      <c r="D19" s="18" t="s">
        <v>1057</v>
      </c>
      <c r="E19" s="17" t="s">
        <v>22</v>
      </c>
      <c r="F19" s="18" t="s">
        <v>1018</v>
      </c>
      <c r="G19" s="17"/>
      <c r="H19" s="17" t="s">
        <v>3</v>
      </c>
    </row>
    <row r="20" spans="1:8" ht="30" customHeight="1" x14ac:dyDescent="0.3">
      <c r="A20" s="17" t="s">
        <v>1058</v>
      </c>
      <c r="B20" s="17" t="s">
        <v>13</v>
      </c>
      <c r="C20" s="18" t="s">
        <v>1054</v>
      </c>
      <c r="D20" s="18" t="s">
        <v>1059</v>
      </c>
      <c r="E20" s="17" t="s">
        <v>22</v>
      </c>
      <c r="F20" s="18" t="s">
        <v>1018</v>
      </c>
      <c r="G20" s="17"/>
      <c r="H20" s="17" t="s">
        <v>3</v>
      </c>
    </row>
    <row r="21" spans="1:8" ht="30" customHeight="1" x14ac:dyDescent="0.3">
      <c r="A21" s="17" t="s">
        <v>1060</v>
      </c>
      <c r="B21" s="17" t="s">
        <v>13</v>
      </c>
      <c r="C21" s="18" t="s">
        <v>1054</v>
      </c>
      <c r="D21" s="18" t="s">
        <v>1061</v>
      </c>
      <c r="E21" s="17" t="s">
        <v>21</v>
      </c>
      <c r="F21" s="18" t="s">
        <v>1018</v>
      </c>
      <c r="G21" s="17"/>
      <c r="H21" s="17" t="s">
        <v>3</v>
      </c>
    </row>
    <row r="22" spans="1:8" ht="30" customHeight="1" x14ac:dyDescent="0.3">
      <c r="A22" s="17" t="s">
        <v>1062</v>
      </c>
      <c r="B22" s="17" t="s">
        <v>13</v>
      </c>
      <c r="C22" s="18" t="s">
        <v>1054</v>
      </c>
      <c r="D22" s="18" t="s">
        <v>1063</v>
      </c>
      <c r="E22" s="17" t="s">
        <v>23</v>
      </c>
      <c r="F22" s="18" t="s">
        <v>1018</v>
      </c>
      <c r="G22" s="17"/>
      <c r="H22" s="17" t="s">
        <v>3</v>
      </c>
    </row>
    <row r="23" spans="1:8" ht="30" customHeight="1" x14ac:dyDescent="0.3">
      <c r="A23" s="17" t="s">
        <v>1064</v>
      </c>
      <c r="B23" s="17" t="s">
        <v>13</v>
      </c>
      <c r="C23" s="18" t="s">
        <v>1054</v>
      </c>
      <c r="D23" s="18" t="s">
        <v>1065</v>
      </c>
      <c r="E23" s="17" t="s">
        <v>22</v>
      </c>
      <c r="F23" s="18" t="s">
        <v>1018</v>
      </c>
      <c r="G23" s="17"/>
      <c r="H23" s="17" t="s">
        <v>3</v>
      </c>
    </row>
    <row r="24" spans="1:8" ht="30" customHeight="1" x14ac:dyDescent="0.3">
      <c r="A24" s="17" t="s">
        <v>1066</v>
      </c>
      <c r="B24" s="17" t="s">
        <v>13</v>
      </c>
      <c r="C24" s="18" t="s">
        <v>1054</v>
      </c>
      <c r="D24" s="18" t="s">
        <v>1067</v>
      </c>
      <c r="E24" s="17" t="s">
        <v>23</v>
      </c>
      <c r="F24" s="18" t="s">
        <v>1018</v>
      </c>
      <c r="G24" s="17"/>
      <c r="H24" s="17" t="s">
        <v>3</v>
      </c>
    </row>
    <row r="25" spans="1:8" ht="30" customHeight="1" x14ac:dyDescent="0.3">
      <c r="A25" s="17" t="s">
        <v>1068</v>
      </c>
      <c r="B25" s="17" t="s">
        <v>13</v>
      </c>
      <c r="C25" s="18" t="s">
        <v>1069</v>
      </c>
      <c r="D25" s="18" t="s">
        <v>1070</v>
      </c>
      <c r="E25" s="17" t="s">
        <v>23</v>
      </c>
      <c r="F25" s="18" t="s">
        <v>1018</v>
      </c>
      <c r="G25" s="17"/>
      <c r="H25" s="17" t="s">
        <v>3</v>
      </c>
    </row>
    <row r="26" spans="1:8" ht="30" customHeight="1" x14ac:dyDescent="0.3">
      <c r="A26" s="17" t="s">
        <v>1071</v>
      </c>
      <c r="B26" s="17" t="s">
        <v>11</v>
      </c>
      <c r="C26" s="18" t="s">
        <v>1072</v>
      </c>
      <c r="D26" s="18" t="s">
        <v>1073</v>
      </c>
      <c r="E26" s="17" t="s">
        <v>22</v>
      </c>
      <c r="F26" s="18" t="s">
        <v>1018</v>
      </c>
      <c r="G26" s="17"/>
      <c r="H26" s="17" t="s">
        <v>3</v>
      </c>
    </row>
    <row r="27" spans="1:8" ht="30" customHeight="1" x14ac:dyDescent="0.3">
      <c r="A27" s="17" t="s">
        <v>1074</v>
      </c>
      <c r="B27" s="17" t="s">
        <v>11</v>
      </c>
      <c r="C27" s="18" t="s">
        <v>1072</v>
      </c>
      <c r="D27" s="18" t="s">
        <v>1075</v>
      </c>
      <c r="E27" s="17" t="s">
        <v>22</v>
      </c>
      <c r="F27" s="18" t="s">
        <v>1018</v>
      </c>
      <c r="G27" s="17"/>
      <c r="H27" s="17" t="s">
        <v>3</v>
      </c>
    </row>
    <row r="28" spans="1:8" ht="30" customHeight="1" x14ac:dyDescent="0.3">
      <c r="A28" s="17" t="s">
        <v>1076</v>
      </c>
      <c r="B28" s="17" t="s">
        <v>11</v>
      </c>
      <c r="C28" s="18" t="s">
        <v>1072</v>
      </c>
      <c r="D28" s="18" t="s">
        <v>1077</v>
      </c>
      <c r="E28" s="17" t="s">
        <v>21</v>
      </c>
      <c r="F28" s="18" t="s">
        <v>1018</v>
      </c>
      <c r="G28" s="17"/>
      <c r="H28" s="17" t="s">
        <v>3</v>
      </c>
    </row>
    <row r="29" spans="1:8" ht="30" customHeight="1" x14ac:dyDescent="0.3">
      <c r="A29" s="17" t="s">
        <v>1078</v>
      </c>
      <c r="B29" s="17" t="s">
        <v>11</v>
      </c>
      <c r="C29" s="18" t="s">
        <v>1072</v>
      </c>
      <c r="D29" s="18" t="s">
        <v>1079</v>
      </c>
      <c r="E29" s="17" t="s">
        <v>23</v>
      </c>
      <c r="F29" s="18" t="s">
        <v>1018</v>
      </c>
      <c r="G29" s="17"/>
      <c r="H29" s="17" t="s">
        <v>3</v>
      </c>
    </row>
    <row r="30" spans="1:8" ht="30" customHeight="1" x14ac:dyDescent="0.3">
      <c r="A30" s="17" t="s">
        <v>1080</v>
      </c>
      <c r="B30" s="17" t="s">
        <v>11</v>
      </c>
      <c r="C30" s="18" t="s">
        <v>1072</v>
      </c>
      <c r="D30" s="18" t="s">
        <v>1081</v>
      </c>
      <c r="E30" s="17" t="s">
        <v>23</v>
      </c>
      <c r="F30" s="18" t="s">
        <v>1018</v>
      </c>
      <c r="G30" s="17"/>
      <c r="H30" s="17" t="s">
        <v>3</v>
      </c>
    </row>
    <row r="31" spans="1:8" ht="30" customHeight="1" x14ac:dyDescent="0.3">
      <c r="A31" s="17" t="s">
        <v>1082</v>
      </c>
      <c r="B31" s="17" t="s">
        <v>12</v>
      </c>
      <c r="C31" s="18" t="s">
        <v>1083</v>
      </c>
      <c r="D31" s="18" t="s">
        <v>1084</v>
      </c>
      <c r="E31" s="17" t="s">
        <v>22</v>
      </c>
      <c r="F31" s="18" t="s">
        <v>1018</v>
      </c>
      <c r="G31" s="17"/>
      <c r="H31" s="17" t="s">
        <v>3</v>
      </c>
    </row>
    <row r="32" spans="1:8" ht="30" customHeight="1" x14ac:dyDescent="0.3">
      <c r="A32" s="17" t="s">
        <v>1085</v>
      </c>
      <c r="B32" s="17" t="s">
        <v>12</v>
      </c>
      <c r="C32" s="18" t="s">
        <v>1083</v>
      </c>
      <c r="D32" s="18" t="s">
        <v>1086</v>
      </c>
      <c r="E32" s="17" t="s">
        <v>23</v>
      </c>
      <c r="F32" s="18" t="s">
        <v>1018</v>
      </c>
      <c r="G32" s="17"/>
      <c r="H32" s="17" t="s">
        <v>3</v>
      </c>
    </row>
    <row r="33" spans="1:8" ht="30" customHeight="1" x14ac:dyDescent="0.3">
      <c r="A33" s="17" t="s">
        <v>1087</v>
      </c>
      <c r="B33" s="17" t="s">
        <v>1088</v>
      </c>
      <c r="C33" s="18" t="s">
        <v>1089</v>
      </c>
      <c r="D33" s="18" t="s">
        <v>1090</v>
      </c>
      <c r="E33" s="17" t="s">
        <v>23</v>
      </c>
      <c r="F33" s="18" t="s">
        <v>1018</v>
      </c>
      <c r="G33" s="17"/>
      <c r="H33" s="17" t="s">
        <v>3</v>
      </c>
    </row>
    <row r="34" spans="1:8" ht="30" customHeight="1" x14ac:dyDescent="0.3">
      <c r="A34" s="17" t="s">
        <v>1091</v>
      </c>
      <c r="B34" s="17" t="s">
        <v>1088</v>
      </c>
      <c r="C34" s="18" t="s">
        <v>1089</v>
      </c>
      <c r="D34" s="18" t="s">
        <v>1092</v>
      </c>
      <c r="E34" s="17" t="s">
        <v>23</v>
      </c>
      <c r="F34" s="18" t="s">
        <v>1018</v>
      </c>
      <c r="G34" s="17"/>
      <c r="H34" s="17" t="s">
        <v>3</v>
      </c>
    </row>
    <row r="35" spans="1:8" ht="30" customHeight="1" x14ac:dyDescent="0.3">
      <c r="A35" s="17" t="s">
        <v>1093</v>
      </c>
      <c r="B35" s="17" t="s">
        <v>1094</v>
      </c>
      <c r="C35" s="18" t="s">
        <v>1020</v>
      </c>
      <c r="D35" s="18" t="s">
        <v>1095</v>
      </c>
      <c r="E35" s="17" t="s">
        <v>22</v>
      </c>
      <c r="F35" s="18" t="s">
        <v>1018</v>
      </c>
      <c r="G35" s="17"/>
      <c r="H35" s="17" t="s">
        <v>3</v>
      </c>
    </row>
    <row r="36" spans="1:8" ht="30" customHeight="1" x14ac:dyDescent="0.3">
      <c r="A36" s="17" t="s">
        <v>1096</v>
      </c>
      <c r="B36" s="17" t="s">
        <v>1094</v>
      </c>
      <c r="C36" s="18" t="s">
        <v>1020</v>
      </c>
      <c r="D36" s="18" t="s">
        <v>1097</v>
      </c>
      <c r="E36" s="17" t="s">
        <v>21</v>
      </c>
      <c r="F36" s="18" t="s">
        <v>1018</v>
      </c>
      <c r="G36" s="17"/>
      <c r="H36" s="17" t="s">
        <v>3</v>
      </c>
    </row>
  </sheetData>
  <conditionalFormatting sqref="E2:E36">
    <cfRule type="cellIs" dxfId="29" priority="2" operator="equal">
      <formula>"🟥 Critical"</formula>
    </cfRule>
    <cfRule type="cellIs" dxfId="28" priority="3" operator="equal">
      <formula>"🟧 High"</formula>
    </cfRule>
    <cfRule type="cellIs" dxfId="27" priority="4" operator="equal">
      <formula>"🟨 Medium"</formula>
    </cfRule>
    <cfRule type="cellIs" dxfId="26" priority="5" operator="equal">
      <formula>"🟩 Low"</formula>
    </cfRule>
  </conditionalFormatting>
  <conditionalFormatting sqref="H2:H36">
    <cfRule type="cellIs" dxfId="25" priority="6" operator="equal">
      <formula>"⬜ Not Started"</formula>
    </cfRule>
    <cfRule type="cellIs" dxfId="24" priority="7" operator="equal">
      <formula>"🟦 In Progress"</formula>
    </cfRule>
    <cfRule type="cellIs" dxfId="23" priority="8" operator="equal">
      <formula>"🟨 Testing"</formula>
    </cfRule>
    <cfRule type="cellIs" dxfId="22" priority="9" operator="equal">
      <formula>"🟪 Review"</formula>
    </cfRule>
    <cfRule type="cellIs" dxfId="21" priority="10" operator="equal">
      <formula>"🟩 Complete"</formula>
    </cfRule>
    <cfRule type="cellIs" dxfId="20" priority="11" operator="equal">
      <formula>"🔴 Blocked"</formula>
    </cfRule>
  </conditionalFormatting>
  <dataValidations count="2">
    <dataValidation type="list" sqref="E2:E36" xr:uid="{00000000-0002-0000-0600-000000000000}">
      <formula1>"🟥 Critical,🟧 High,🟨 Medium,🟩 Low"</formula1>
      <formula2>0</formula2>
    </dataValidation>
    <dataValidation type="list" sqref="H2:H36" xr:uid="{00000000-0002-0000-0600-000001000000}">
      <formula1>"⬜ Not Started,🟦 In Progress,🟨 Testing,🟪 Review,🟩 Complete,🔴 Blocked"</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6"/>
  <sheetViews>
    <sheetView zoomScaleNormal="100" workbookViewId="0">
      <pane ySplit="1" topLeftCell="A2" activePane="bottomLeft" state="frozen"/>
      <selection pane="bottomLeft"/>
    </sheetView>
  </sheetViews>
  <sheetFormatPr defaultColWidth="8.6640625" defaultRowHeight="14.4" x14ac:dyDescent="0.3"/>
  <cols>
    <col min="1" max="1" width="10" customWidth="1"/>
    <col min="2" max="2" width="22" customWidth="1"/>
    <col min="3" max="3" width="24" customWidth="1"/>
    <col min="4" max="4" width="52" customWidth="1"/>
    <col min="5" max="5" width="14" customWidth="1"/>
    <col min="6" max="6" width="20" customWidth="1"/>
    <col min="7" max="7" width="14" customWidth="1"/>
    <col min="8" max="8" width="16" customWidth="1"/>
  </cols>
  <sheetData>
    <row r="1" spans="1:8" ht="30" customHeight="1" x14ac:dyDescent="0.3">
      <c r="A1" s="3" t="s">
        <v>25</v>
      </c>
      <c r="B1" s="3" t="s">
        <v>26</v>
      </c>
      <c r="C1" s="3" t="s">
        <v>27</v>
      </c>
      <c r="D1" s="3" t="s">
        <v>28</v>
      </c>
      <c r="E1" s="3" t="s">
        <v>29</v>
      </c>
      <c r="F1" s="3" t="s">
        <v>30</v>
      </c>
      <c r="G1" s="3" t="s">
        <v>31</v>
      </c>
      <c r="H1" s="3" t="s">
        <v>32</v>
      </c>
    </row>
    <row r="2" spans="1:8" ht="30" customHeight="1" x14ac:dyDescent="0.3">
      <c r="A2" s="17" t="s">
        <v>1098</v>
      </c>
      <c r="B2" s="17" t="s">
        <v>1099</v>
      </c>
      <c r="C2" s="18" t="s">
        <v>1100</v>
      </c>
      <c r="D2" s="18" t="s">
        <v>1101</v>
      </c>
      <c r="E2" s="17" t="s">
        <v>21</v>
      </c>
      <c r="F2" s="18" t="s">
        <v>449</v>
      </c>
      <c r="G2" s="17"/>
      <c r="H2" s="17" t="s">
        <v>3</v>
      </c>
    </row>
    <row r="3" spans="1:8" ht="30" customHeight="1" x14ac:dyDescent="0.3">
      <c r="A3" s="17" t="s">
        <v>1102</v>
      </c>
      <c r="B3" s="17" t="s">
        <v>1099</v>
      </c>
      <c r="C3" s="18" t="s">
        <v>1100</v>
      </c>
      <c r="D3" s="18" t="s">
        <v>1103</v>
      </c>
      <c r="E3" s="17" t="s">
        <v>22</v>
      </c>
      <c r="F3" s="18" t="s">
        <v>449</v>
      </c>
      <c r="G3" s="17"/>
      <c r="H3" s="17" t="s">
        <v>3</v>
      </c>
    </row>
    <row r="4" spans="1:8" ht="30" customHeight="1" x14ac:dyDescent="0.3">
      <c r="A4" s="17" t="s">
        <v>1104</v>
      </c>
      <c r="B4" s="17" t="s">
        <v>1099</v>
      </c>
      <c r="C4" s="18" t="s">
        <v>1105</v>
      </c>
      <c r="D4" s="18" t="s">
        <v>1106</v>
      </c>
      <c r="E4" s="17" t="s">
        <v>22</v>
      </c>
      <c r="F4" s="18" t="s">
        <v>449</v>
      </c>
      <c r="G4" s="17"/>
      <c r="H4" s="17" t="s">
        <v>3</v>
      </c>
    </row>
    <row r="5" spans="1:8" ht="30" customHeight="1" x14ac:dyDescent="0.3">
      <c r="A5" s="17" t="s">
        <v>1107</v>
      </c>
      <c r="B5" s="17" t="s">
        <v>1099</v>
      </c>
      <c r="C5" s="18" t="s">
        <v>1105</v>
      </c>
      <c r="D5" s="18" t="s">
        <v>1108</v>
      </c>
      <c r="E5" s="17" t="s">
        <v>22</v>
      </c>
      <c r="F5" s="18" t="s">
        <v>449</v>
      </c>
      <c r="G5" s="17"/>
      <c r="H5" s="17" t="s">
        <v>3</v>
      </c>
    </row>
    <row r="6" spans="1:8" ht="30" customHeight="1" x14ac:dyDescent="0.3">
      <c r="A6" s="17" t="s">
        <v>1109</v>
      </c>
      <c r="B6" s="17" t="s">
        <v>1099</v>
      </c>
      <c r="C6" s="18" t="s">
        <v>1110</v>
      </c>
      <c r="D6" s="18" t="s">
        <v>1111</v>
      </c>
      <c r="E6" s="17" t="s">
        <v>21</v>
      </c>
      <c r="F6" s="18" t="s">
        <v>449</v>
      </c>
      <c r="G6" s="17"/>
      <c r="H6" s="17" t="s">
        <v>3</v>
      </c>
    </row>
    <row r="7" spans="1:8" ht="30" customHeight="1" x14ac:dyDescent="0.3">
      <c r="A7" s="17" t="s">
        <v>1112</v>
      </c>
      <c r="B7" s="17" t="s">
        <v>1099</v>
      </c>
      <c r="C7" s="18" t="s">
        <v>1110</v>
      </c>
      <c r="D7" s="18" t="s">
        <v>1113</v>
      </c>
      <c r="E7" s="17" t="s">
        <v>22</v>
      </c>
      <c r="F7" s="18" t="s">
        <v>449</v>
      </c>
      <c r="G7" s="17"/>
      <c r="H7" s="17" t="s">
        <v>3</v>
      </c>
    </row>
    <row r="8" spans="1:8" ht="30" customHeight="1" x14ac:dyDescent="0.3">
      <c r="A8" s="17" t="s">
        <v>1114</v>
      </c>
      <c r="B8" s="17" t="s">
        <v>1099</v>
      </c>
      <c r="C8" s="18" t="s">
        <v>1110</v>
      </c>
      <c r="D8" s="18" t="s">
        <v>1115</v>
      </c>
      <c r="E8" s="17" t="s">
        <v>22</v>
      </c>
      <c r="F8" s="18" t="s">
        <v>449</v>
      </c>
      <c r="G8" s="17"/>
      <c r="H8" s="17" t="s">
        <v>3</v>
      </c>
    </row>
    <row r="9" spans="1:8" ht="30" customHeight="1" x14ac:dyDescent="0.3">
      <c r="A9" s="17" t="s">
        <v>1116</v>
      </c>
      <c r="B9" s="17" t="s">
        <v>1099</v>
      </c>
      <c r="C9" s="18" t="s">
        <v>1110</v>
      </c>
      <c r="D9" s="18" t="s">
        <v>1117</v>
      </c>
      <c r="E9" s="17" t="s">
        <v>22</v>
      </c>
      <c r="F9" s="18" t="s">
        <v>449</v>
      </c>
      <c r="G9" s="17"/>
      <c r="H9" s="17" t="s">
        <v>3</v>
      </c>
    </row>
    <row r="10" spans="1:8" ht="30" customHeight="1" x14ac:dyDescent="0.3">
      <c r="A10" s="17" t="s">
        <v>1118</v>
      </c>
      <c r="B10" s="17" t="s">
        <v>1099</v>
      </c>
      <c r="C10" s="18" t="s">
        <v>1119</v>
      </c>
      <c r="D10" s="18" t="s">
        <v>1120</v>
      </c>
      <c r="E10" s="17" t="s">
        <v>21</v>
      </c>
      <c r="F10" s="18" t="s">
        <v>449</v>
      </c>
      <c r="G10" s="17"/>
      <c r="H10" s="17" t="s">
        <v>3</v>
      </c>
    </row>
    <row r="11" spans="1:8" ht="30" customHeight="1" x14ac:dyDescent="0.3">
      <c r="A11" s="17" t="s">
        <v>1121</v>
      </c>
      <c r="B11" s="17" t="s">
        <v>1099</v>
      </c>
      <c r="C11" s="18" t="s">
        <v>1119</v>
      </c>
      <c r="D11" s="18" t="s">
        <v>1122</v>
      </c>
      <c r="E11" s="17" t="s">
        <v>22</v>
      </c>
      <c r="F11" s="18" t="s">
        <v>449</v>
      </c>
      <c r="G11" s="17"/>
      <c r="H11" s="17" t="s">
        <v>3</v>
      </c>
    </row>
    <row r="12" spans="1:8" ht="30" customHeight="1" x14ac:dyDescent="0.3">
      <c r="A12" s="17" t="s">
        <v>1123</v>
      </c>
      <c r="B12" s="17" t="s">
        <v>1099</v>
      </c>
      <c r="C12" s="18" t="s">
        <v>1124</v>
      </c>
      <c r="D12" s="18" t="s">
        <v>1125</v>
      </c>
      <c r="E12" s="17" t="s">
        <v>23</v>
      </c>
      <c r="F12" s="18" t="s">
        <v>449</v>
      </c>
      <c r="G12" s="17"/>
      <c r="H12" s="17" t="s">
        <v>3</v>
      </c>
    </row>
    <row r="13" spans="1:8" ht="30" customHeight="1" x14ac:dyDescent="0.3">
      <c r="A13" s="17" t="s">
        <v>1126</v>
      </c>
      <c r="B13" s="17" t="s">
        <v>1099</v>
      </c>
      <c r="C13" s="18" t="s">
        <v>1124</v>
      </c>
      <c r="D13" s="18" t="s">
        <v>1127</v>
      </c>
      <c r="E13" s="17" t="s">
        <v>23</v>
      </c>
      <c r="F13" s="18" t="s">
        <v>449</v>
      </c>
      <c r="G13" s="17"/>
      <c r="H13" s="17" t="s">
        <v>3</v>
      </c>
    </row>
    <row r="14" spans="1:8" ht="30" customHeight="1" x14ac:dyDescent="0.3">
      <c r="A14" s="17" t="s">
        <v>1128</v>
      </c>
      <c r="B14" s="17" t="s">
        <v>1099</v>
      </c>
      <c r="C14" s="18" t="s">
        <v>1124</v>
      </c>
      <c r="D14" s="18" t="s">
        <v>1129</v>
      </c>
      <c r="E14" s="17" t="s">
        <v>22</v>
      </c>
      <c r="F14" s="18" t="s">
        <v>449</v>
      </c>
      <c r="G14" s="17"/>
      <c r="H14" s="17" t="s">
        <v>3</v>
      </c>
    </row>
    <row r="15" spans="1:8" ht="30" customHeight="1" x14ac:dyDescent="0.3">
      <c r="A15" s="17" t="s">
        <v>1130</v>
      </c>
      <c r="B15" s="17" t="s">
        <v>1099</v>
      </c>
      <c r="C15" s="18" t="s">
        <v>1094</v>
      </c>
      <c r="D15" s="18" t="s">
        <v>1131</v>
      </c>
      <c r="E15" s="17" t="s">
        <v>21</v>
      </c>
      <c r="F15" s="18" t="s">
        <v>449</v>
      </c>
      <c r="G15" s="17"/>
      <c r="H15" s="17" t="s">
        <v>3</v>
      </c>
    </row>
    <row r="16" spans="1:8" ht="30" customHeight="1" x14ac:dyDescent="0.3">
      <c r="A16" s="17" t="s">
        <v>1132</v>
      </c>
      <c r="B16" s="17" t="s">
        <v>1099</v>
      </c>
      <c r="C16" s="18" t="s">
        <v>1133</v>
      </c>
      <c r="D16" s="18" t="s">
        <v>1134</v>
      </c>
      <c r="E16" s="17" t="s">
        <v>23</v>
      </c>
      <c r="F16" s="18" t="s">
        <v>449</v>
      </c>
      <c r="G16" s="17"/>
      <c r="H16" s="17" t="s">
        <v>3</v>
      </c>
    </row>
  </sheetData>
  <conditionalFormatting sqref="E2:E16">
    <cfRule type="cellIs" dxfId="19" priority="2" operator="equal">
      <formula>"🟥 Critical"</formula>
    </cfRule>
    <cfRule type="cellIs" dxfId="18" priority="3" operator="equal">
      <formula>"🟧 High"</formula>
    </cfRule>
    <cfRule type="cellIs" dxfId="17" priority="4" operator="equal">
      <formula>"🟨 Medium"</formula>
    </cfRule>
    <cfRule type="cellIs" dxfId="16" priority="5" operator="equal">
      <formula>"🟩 Low"</formula>
    </cfRule>
  </conditionalFormatting>
  <conditionalFormatting sqref="H2:H16">
    <cfRule type="cellIs" dxfId="15" priority="6" operator="equal">
      <formula>"⬜ Not Started"</formula>
    </cfRule>
    <cfRule type="cellIs" dxfId="14" priority="7" operator="equal">
      <formula>"🟦 In Progress"</formula>
    </cfRule>
    <cfRule type="cellIs" dxfId="13" priority="8" operator="equal">
      <formula>"🟨 Testing"</formula>
    </cfRule>
    <cfRule type="cellIs" dxfId="12" priority="9" operator="equal">
      <formula>"🟪 Review"</formula>
    </cfRule>
    <cfRule type="cellIs" dxfId="11" priority="10" operator="equal">
      <formula>"🟩 Complete"</formula>
    </cfRule>
    <cfRule type="cellIs" dxfId="10" priority="11" operator="equal">
      <formula>"🔴 Blocked"</formula>
    </cfRule>
  </conditionalFormatting>
  <dataValidations count="2">
    <dataValidation type="list" sqref="E2:E16" xr:uid="{00000000-0002-0000-0700-000000000000}">
      <formula1>"🟥 Critical,🟧 High,🟨 Medium,🟩 Low"</formula1>
      <formula2>0</formula2>
    </dataValidation>
    <dataValidation type="list" sqref="H2:H16" xr:uid="{00000000-0002-0000-0700-000001000000}">
      <formula1>"⬜ Not Started,🟦 In Progress,🟨 Testing,🟪 Review,🟩 Complete,🔴 Blocked"</formula1>
      <formula2>0</formula2>
    </dataValidation>
  </dataValidation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5"/>
  <sheetViews>
    <sheetView zoomScaleNormal="100" workbookViewId="0">
      <pane ySplit="1" topLeftCell="A13" activePane="bottomLeft" state="frozen"/>
      <selection pane="bottomLeft" activeCell="C22" sqref="C22"/>
    </sheetView>
  </sheetViews>
  <sheetFormatPr defaultColWidth="8.6640625" defaultRowHeight="14.4" x14ac:dyDescent="0.3"/>
  <cols>
    <col min="1" max="1" width="10" customWidth="1"/>
    <col min="2" max="2" width="22" customWidth="1"/>
    <col min="3" max="3" width="24" customWidth="1"/>
    <col min="4" max="4" width="52" customWidth="1"/>
    <col min="5" max="5" width="14" customWidth="1"/>
    <col min="6" max="6" width="20" customWidth="1"/>
    <col min="7" max="7" width="14" customWidth="1"/>
    <col min="8" max="8" width="16" customWidth="1"/>
  </cols>
  <sheetData>
    <row r="1" spans="1:8" ht="30" customHeight="1" x14ac:dyDescent="0.3">
      <c r="A1" s="3" t="s">
        <v>25</v>
      </c>
      <c r="B1" s="3" t="s">
        <v>26</v>
      </c>
      <c r="C1" s="3" t="s">
        <v>27</v>
      </c>
      <c r="D1" s="3" t="s">
        <v>28</v>
      </c>
      <c r="E1" s="3" t="s">
        <v>29</v>
      </c>
      <c r="F1" s="3" t="s">
        <v>30</v>
      </c>
      <c r="G1" s="3" t="s">
        <v>31</v>
      </c>
      <c r="H1" s="3" t="s">
        <v>32</v>
      </c>
    </row>
    <row r="2" spans="1:8" ht="30" customHeight="1" x14ac:dyDescent="0.3">
      <c r="A2" s="17" t="s">
        <v>1135</v>
      </c>
      <c r="B2" s="17" t="s">
        <v>1136</v>
      </c>
      <c r="C2" s="18" t="s">
        <v>1137</v>
      </c>
      <c r="D2" s="18" t="s">
        <v>1138</v>
      </c>
      <c r="E2" s="17" t="s">
        <v>24</v>
      </c>
      <c r="F2" s="18" t="s">
        <v>1139</v>
      </c>
      <c r="G2" s="17"/>
      <c r="H2" s="17" t="s">
        <v>3</v>
      </c>
    </row>
    <row r="3" spans="1:8" ht="30" customHeight="1" x14ac:dyDescent="0.3">
      <c r="A3" s="17" t="s">
        <v>1140</v>
      </c>
      <c r="B3" s="17" t="s">
        <v>1136</v>
      </c>
      <c r="C3" s="18" t="s">
        <v>1137</v>
      </c>
      <c r="D3" s="18" t="s">
        <v>1141</v>
      </c>
      <c r="E3" s="17" t="s">
        <v>24</v>
      </c>
      <c r="F3" s="18" t="s">
        <v>1139</v>
      </c>
      <c r="G3" s="17"/>
      <c r="H3" s="17" t="s">
        <v>3</v>
      </c>
    </row>
    <row r="4" spans="1:8" ht="30" customHeight="1" x14ac:dyDescent="0.3">
      <c r="A4" s="17" t="s">
        <v>1142</v>
      </c>
      <c r="B4" s="17" t="s">
        <v>1136</v>
      </c>
      <c r="C4" s="18" t="s">
        <v>1137</v>
      </c>
      <c r="D4" s="18" t="s">
        <v>1143</v>
      </c>
      <c r="E4" s="17" t="s">
        <v>24</v>
      </c>
      <c r="F4" s="18" t="s">
        <v>1139</v>
      </c>
      <c r="G4" s="17"/>
      <c r="H4" s="17" t="s">
        <v>3</v>
      </c>
    </row>
    <row r="5" spans="1:8" ht="30" customHeight="1" x14ac:dyDescent="0.3">
      <c r="A5" s="17" t="s">
        <v>1144</v>
      </c>
      <c r="B5" s="17" t="s">
        <v>1136</v>
      </c>
      <c r="C5" s="18" t="s">
        <v>1137</v>
      </c>
      <c r="D5" s="18" t="s">
        <v>1145</v>
      </c>
      <c r="E5" s="17" t="s">
        <v>24</v>
      </c>
      <c r="F5" s="18" t="s">
        <v>1139</v>
      </c>
      <c r="G5" s="17"/>
      <c r="H5" s="17" t="s">
        <v>3</v>
      </c>
    </row>
    <row r="6" spans="1:8" ht="30" customHeight="1" x14ac:dyDescent="0.3">
      <c r="A6" s="17" t="s">
        <v>1146</v>
      </c>
      <c r="B6" s="17" t="s">
        <v>1136</v>
      </c>
      <c r="C6" s="18" t="s">
        <v>1147</v>
      </c>
      <c r="D6" s="18" t="s">
        <v>1148</v>
      </c>
      <c r="E6" s="17" t="s">
        <v>24</v>
      </c>
      <c r="F6" s="18" t="s">
        <v>1139</v>
      </c>
      <c r="G6" s="17"/>
      <c r="H6" s="17" t="s">
        <v>3</v>
      </c>
    </row>
    <row r="7" spans="1:8" ht="30" customHeight="1" x14ac:dyDescent="0.3">
      <c r="A7" s="17" t="s">
        <v>1149</v>
      </c>
      <c r="B7" s="17" t="s">
        <v>1136</v>
      </c>
      <c r="C7" s="18" t="s">
        <v>1147</v>
      </c>
      <c r="D7" s="18" t="s">
        <v>1150</v>
      </c>
      <c r="E7" s="17" t="s">
        <v>24</v>
      </c>
      <c r="F7" s="18" t="s">
        <v>1139</v>
      </c>
      <c r="G7" s="17"/>
      <c r="H7" s="17" t="s">
        <v>3</v>
      </c>
    </row>
    <row r="8" spans="1:8" ht="30" customHeight="1" x14ac:dyDescent="0.3">
      <c r="A8" s="17" t="s">
        <v>1151</v>
      </c>
      <c r="B8" s="17" t="s">
        <v>1136</v>
      </c>
      <c r="C8" s="18" t="s">
        <v>1147</v>
      </c>
      <c r="D8" s="18" t="s">
        <v>1152</v>
      </c>
      <c r="E8" s="17" t="s">
        <v>24</v>
      </c>
      <c r="F8" s="18" t="s">
        <v>1139</v>
      </c>
      <c r="G8" s="17"/>
      <c r="H8" s="17" t="s">
        <v>3</v>
      </c>
    </row>
    <row r="9" spans="1:8" ht="30" customHeight="1" x14ac:dyDescent="0.3">
      <c r="A9" s="17" t="s">
        <v>1153</v>
      </c>
      <c r="B9" s="17" t="s">
        <v>1136</v>
      </c>
      <c r="C9" s="18" t="s">
        <v>1154</v>
      </c>
      <c r="D9" s="18" t="s">
        <v>1155</v>
      </c>
      <c r="E9" s="17" t="s">
        <v>24</v>
      </c>
      <c r="F9" s="18" t="s">
        <v>1139</v>
      </c>
      <c r="G9" s="17"/>
      <c r="H9" s="17" t="s">
        <v>3</v>
      </c>
    </row>
    <row r="10" spans="1:8" ht="30" customHeight="1" x14ac:dyDescent="0.3">
      <c r="A10" s="17" t="s">
        <v>1156</v>
      </c>
      <c r="B10" s="17" t="s">
        <v>1157</v>
      </c>
      <c r="C10" s="18" t="s">
        <v>1158</v>
      </c>
      <c r="D10" s="18" t="s">
        <v>1159</v>
      </c>
      <c r="E10" s="17" t="s">
        <v>23</v>
      </c>
      <c r="F10" s="18" t="s">
        <v>1139</v>
      </c>
      <c r="G10" s="17"/>
      <c r="H10" s="17" t="s">
        <v>3</v>
      </c>
    </row>
    <row r="11" spans="1:8" ht="30" customHeight="1" x14ac:dyDescent="0.3">
      <c r="A11" s="17" t="s">
        <v>1160</v>
      </c>
      <c r="B11" s="17" t="s">
        <v>1157</v>
      </c>
      <c r="C11" s="18" t="s">
        <v>1161</v>
      </c>
      <c r="D11" s="18" t="s">
        <v>1162</v>
      </c>
      <c r="E11" s="17" t="s">
        <v>23</v>
      </c>
      <c r="F11" s="18" t="s">
        <v>1139</v>
      </c>
      <c r="G11" s="17"/>
      <c r="H11" s="17" t="s">
        <v>3</v>
      </c>
    </row>
    <row r="12" spans="1:8" ht="30" customHeight="1" x14ac:dyDescent="0.3">
      <c r="A12" s="17" t="s">
        <v>1163</v>
      </c>
      <c r="B12" s="17" t="s">
        <v>1157</v>
      </c>
      <c r="C12" s="18" t="s">
        <v>1161</v>
      </c>
      <c r="D12" s="18" t="s">
        <v>1164</v>
      </c>
      <c r="E12" s="17" t="s">
        <v>23</v>
      </c>
      <c r="F12" s="18" t="s">
        <v>1139</v>
      </c>
      <c r="G12" s="17"/>
      <c r="H12" s="17" t="s">
        <v>3</v>
      </c>
    </row>
    <row r="13" spans="1:8" ht="30" customHeight="1" x14ac:dyDescent="0.3">
      <c r="A13" s="17" t="s">
        <v>1165</v>
      </c>
      <c r="B13" s="17" t="s">
        <v>1157</v>
      </c>
      <c r="C13" s="18" t="s">
        <v>1166</v>
      </c>
      <c r="D13" s="18" t="s">
        <v>1167</v>
      </c>
      <c r="E13" s="17" t="s">
        <v>23</v>
      </c>
      <c r="F13" s="18" t="s">
        <v>1139</v>
      </c>
      <c r="G13" s="17"/>
      <c r="H13" s="17" t="s">
        <v>3</v>
      </c>
    </row>
    <row r="14" spans="1:8" ht="30" customHeight="1" x14ac:dyDescent="0.3">
      <c r="A14" s="17" t="s">
        <v>1168</v>
      </c>
      <c r="B14" s="17" t="s">
        <v>1157</v>
      </c>
      <c r="C14" s="18" t="s">
        <v>1169</v>
      </c>
      <c r="D14" s="18" t="s">
        <v>1170</v>
      </c>
      <c r="E14" s="17" t="s">
        <v>23</v>
      </c>
      <c r="F14" s="18" t="s">
        <v>1139</v>
      </c>
      <c r="G14" s="17"/>
      <c r="H14" s="17" t="s">
        <v>3</v>
      </c>
    </row>
    <row r="15" spans="1:8" ht="30" customHeight="1" x14ac:dyDescent="0.3">
      <c r="A15" s="17" t="s">
        <v>1171</v>
      </c>
      <c r="B15" s="17" t="s">
        <v>1157</v>
      </c>
      <c r="C15" s="18" t="s">
        <v>1172</v>
      </c>
      <c r="D15" s="18" t="s">
        <v>1173</v>
      </c>
      <c r="E15" s="17" t="s">
        <v>23</v>
      </c>
      <c r="F15" s="18" t="s">
        <v>1139</v>
      </c>
      <c r="G15" s="17"/>
      <c r="H15" s="17" t="s">
        <v>3</v>
      </c>
    </row>
    <row r="16" spans="1:8" ht="30" customHeight="1" x14ac:dyDescent="0.3">
      <c r="A16" s="17" t="s">
        <v>1174</v>
      </c>
      <c r="B16" s="17" t="s">
        <v>1175</v>
      </c>
      <c r="C16" s="18" t="s">
        <v>1176</v>
      </c>
      <c r="D16" s="18" t="s">
        <v>1177</v>
      </c>
      <c r="E16" s="17" t="s">
        <v>24</v>
      </c>
      <c r="F16" s="18" t="s">
        <v>1139</v>
      </c>
      <c r="G16" s="17"/>
      <c r="H16" s="17" t="s">
        <v>3</v>
      </c>
    </row>
    <row r="17" spans="1:8" ht="30" customHeight="1" x14ac:dyDescent="0.3">
      <c r="A17" s="17" t="s">
        <v>1178</v>
      </c>
      <c r="B17" s="17" t="s">
        <v>1175</v>
      </c>
      <c r="C17" s="18" t="s">
        <v>1179</v>
      </c>
      <c r="D17" s="18" t="s">
        <v>1180</v>
      </c>
      <c r="E17" s="17" t="s">
        <v>24</v>
      </c>
      <c r="F17" s="18" t="s">
        <v>1139</v>
      </c>
      <c r="G17" s="17"/>
      <c r="H17" s="17" t="s">
        <v>3</v>
      </c>
    </row>
    <row r="18" spans="1:8" ht="30" customHeight="1" x14ac:dyDescent="0.3">
      <c r="A18" s="17" t="s">
        <v>1181</v>
      </c>
      <c r="B18" s="17" t="s">
        <v>1175</v>
      </c>
      <c r="C18" s="18" t="s">
        <v>1182</v>
      </c>
      <c r="D18" s="18" t="s">
        <v>1183</v>
      </c>
      <c r="E18" s="17" t="s">
        <v>24</v>
      </c>
      <c r="F18" s="18" t="s">
        <v>1139</v>
      </c>
      <c r="G18" s="17"/>
      <c r="H18" s="17" t="s">
        <v>3</v>
      </c>
    </row>
    <row r="19" spans="1:8" ht="30" customHeight="1" x14ac:dyDescent="0.3">
      <c r="A19" s="17" t="s">
        <v>1184</v>
      </c>
      <c r="B19" s="17" t="s">
        <v>1175</v>
      </c>
      <c r="C19" s="18" t="s">
        <v>1185</v>
      </c>
      <c r="D19" s="18" t="s">
        <v>1186</v>
      </c>
      <c r="E19" s="17" t="s">
        <v>24</v>
      </c>
      <c r="F19" s="18" t="s">
        <v>1139</v>
      </c>
      <c r="G19" s="17"/>
      <c r="H19" s="17" t="s">
        <v>3</v>
      </c>
    </row>
    <row r="20" spans="1:8" ht="30" customHeight="1" x14ac:dyDescent="0.3">
      <c r="A20" s="17" t="s">
        <v>1187</v>
      </c>
      <c r="B20" s="17" t="s">
        <v>1175</v>
      </c>
      <c r="C20" s="18" t="s">
        <v>1185</v>
      </c>
      <c r="D20" s="18" t="s">
        <v>1188</v>
      </c>
      <c r="E20" s="17" t="s">
        <v>24</v>
      </c>
      <c r="F20" s="18" t="s">
        <v>1139</v>
      </c>
      <c r="G20" s="17"/>
      <c r="H20" s="17" t="s">
        <v>3</v>
      </c>
    </row>
    <row r="21" spans="1:8" ht="30" customHeight="1" x14ac:dyDescent="0.3">
      <c r="A21" s="17" t="s">
        <v>1189</v>
      </c>
      <c r="B21" s="17" t="s">
        <v>1175</v>
      </c>
      <c r="C21" s="18" t="s">
        <v>1190</v>
      </c>
      <c r="D21" s="18" t="s">
        <v>1191</v>
      </c>
      <c r="E21" s="17" t="s">
        <v>24</v>
      </c>
      <c r="F21" s="18" t="s">
        <v>1139</v>
      </c>
      <c r="G21" s="17"/>
      <c r="H21" s="17" t="s">
        <v>3</v>
      </c>
    </row>
    <row r="22" spans="1:8" ht="30" customHeight="1" x14ac:dyDescent="0.3">
      <c r="A22" s="17" t="s">
        <v>1192</v>
      </c>
      <c r="B22" s="17" t="s">
        <v>1193</v>
      </c>
      <c r="C22" s="18" t="s">
        <v>1194</v>
      </c>
      <c r="D22" s="18" t="s">
        <v>1195</v>
      </c>
      <c r="E22" s="17" t="s">
        <v>24</v>
      </c>
      <c r="F22" s="18" t="s">
        <v>1139</v>
      </c>
      <c r="G22" s="17"/>
      <c r="H22" s="17" t="s">
        <v>3</v>
      </c>
    </row>
    <row r="23" spans="1:8" ht="30" customHeight="1" x14ac:dyDescent="0.3">
      <c r="A23" s="17" t="s">
        <v>1196</v>
      </c>
      <c r="B23" s="17" t="s">
        <v>1193</v>
      </c>
      <c r="C23" s="18" t="s">
        <v>1197</v>
      </c>
      <c r="D23" s="18" t="s">
        <v>1198</v>
      </c>
      <c r="E23" s="17" t="s">
        <v>24</v>
      </c>
      <c r="F23" s="18" t="s">
        <v>1139</v>
      </c>
      <c r="G23" s="17"/>
      <c r="H23" s="17" t="s">
        <v>3</v>
      </c>
    </row>
    <row r="24" spans="1:8" ht="30" customHeight="1" x14ac:dyDescent="0.3">
      <c r="A24" s="17" t="s">
        <v>1199</v>
      </c>
      <c r="B24" s="17" t="s">
        <v>1193</v>
      </c>
      <c r="C24" s="18" t="s">
        <v>1200</v>
      </c>
      <c r="D24" s="18" t="s">
        <v>1201</v>
      </c>
      <c r="E24" s="17" t="s">
        <v>24</v>
      </c>
      <c r="F24" s="18" t="s">
        <v>1139</v>
      </c>
      <c r="G24" s="17"/>
      <c r="H24" s="17" t="s">
        <v>3</v>
      </c>
    </row>
    <row r="25" spans="1:8" ht="30" customHeight="1" x14ac:dyDescent="0.3">
      <c r="A25" s="17" t="s">
        <v>1202</v>
      </c>
      <c r="B25" s="17" t="s">
        <v>1193</v>
      </c>
      <c r="C25" s="18" t="s">
        <v>1203</v>
      </c>
      <c r="D25" s="18" t="s">
        <v>1204</v>
      </c>
      <c r="E25" s="17" t="s">
        <v>24</v>
      </c>
      <c r="F25" s="18" t="s">
        <v>1139</v>
      </c>
      <c r="G25" s="17"/>
      <c r="H25" s="17" t="s">
        <v>3</v>
      </c>
    </row>
  </sheetData>
  <conditionalFormatting sqref="E2:E25">
    <cfRule type="cellIs" dxfId="9" priority="2" operator="equal">
      <formula>"🟥 Critical"</formula>
    </cfRule>
    <cfRule type="cellIs" dxfId="8" priority="3" operator="equal">
      <formula>"🟧 High"</formula>
    </cfRule>
    <cfRule type="cellIs" dxfId="7" priority="4" operator="equal">
      <formula>"🟨 Medium"</formula>
    </cfRule>
    <cfRule type="cellIs" dxfId="6" priority="5" operator="equal">
      <formula>"🟩 Low"</formula>
    </cfRule>
  </conditionalFormatting>
  <conditionalFormatting sqref="H2:H25">
    <cfRule type="cellIs" dxfId="5" priority="6" operator="equal">
      <formula>"⬜ Not Started"</formula>
    </cfRule>
    <cfRule type="cellIs" dxfId="4" priority="7" operator="equal">
      <formula>"🟦 In Progress"</formula>
    </cfRule>
    <cfRule type="cellIs" dxfId="3" priority="8" operator="equal">
      <formula>"🟨 Testing"</formula>
    </cfRule>
    <cfRule type="cellIs" dxfId="2" priority="9" operator="equal">
      <formula>"🟪 Review"</formula>
    </cfRule>
    <cfRule type="cellIs" dxfId="1" priority="10" operator="equal">
      <formula>"🟩 Complete"</formula>
    </cfRule>
    <cfRule type="cellIs" dxfId="0" priority="11" operator="equal">
      <formula>"🔴 Blocked"</formula>
    </cfRule>
  </conditionalFormatting>
  <dataValidations count="2">
    <dataValidation type="list" sqref="E2:E25" xr:uid="{00000000-0002-0000-0800-000000000000}">
      <formula1>"🟥 Critical,🟧 High,🟨 Medium,🟩 Low"</formula1>
      <formula2>0</formula2>
    </dataValidation>
    <dataValidation type="list" sqref="H2:H25" xr:uid="{00000000-0002-0000-0800-000001000000}">
      <formula1>"⬜ Not Started,🟦 In Progress,🟨 Testing,🟪 Review,🟩 Complete,🔴 Blocked"</formula1>
      <formula2>0</formula2>
    </dataValidation>
  </dataValidation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22"/>
  <sheetViews>
    <sheetView showGridLines="0" topLeftCell="A11" zoomScaleNormal="100" workbookViewId="0">
      <selection activeCell="A20" sqref="A20"/>
    </sheetView>
  </sheetViews>
  <sheetFormatPr defaultColWidth="8.6640625" defaultRowHeight="14.4" x14ac:dyDescent="0.3"/>
  <cols>
    <col min="1" max="1" width="110" customWidth="1"/>
  </cols>
  <sheetData>
    <row r="1" spans="1:1" ht="19.5" customHeight="1" x14ac:dyDescent="0.3">
      <c r="A1" s="19" t="s">
        <v>1218</v>
      </c>
    </row>
    <row r="2" spans="1:1" ht="18" customHeight="1" x14ac:dyDescent="0.3">
      <c r="A2" s="20"/>
    </row>
    <row r="3" spans="1:1" ht="19.5" customHeight="1" x14ac:dyDescent="0.3">
      <c r="A3" s="21" t="s">
        <v>1205</v>
      </c>
    </row>
    <row r="4" spans="1:1" ht="31.5" customHeight="1" x14ac:dyDescent="0.3">
      <c r="A4" s="20" t="s">
        <v>1206</v>
      </c>
    </row>
    <row r="5" spans="1:1" ht="18" customHeight="1" x14ac:dyDescent="0.3">
      <c r="A5" s="20"/>
    </row>
    <row r="6" spans="1:1" ht="19.5" customHeight="1" x14ac:dyDescent="0.3">
      <c r="A6" s="21" t="s">
        <v>1207</v>
      </c>
    </row>
    <row r="7" spans="1:1" ht="31.5" customHeight="1" x14ac:dyDescent="0.3">
      <c r="A7" s="20" t="s">
        <v>1208</v>
      </c>
    </row>
    <row r="8" spans="1:1" ht="18" customHeight="1" x14ac:dyDescent="0.3">
      <c r="A8" s="20"/>
    </row>
    <row r="9" spans="1:1" ht="19.5" customHeight="1" x14ac:dyDescent="0.3">
      <c r="A9" s="21" t="s">
        <v>1209</v>
      </c>
    </row>
    <row r="10" spans="1:1" ht="31.5" customHeight="1" x14ac:dyDescent="0.3">
      <c r="A10" s="20" t="s">
        <v>1210</v>
      </c>
    </row>
    <row r="11" spans="1:1" ht="18" customHeight="1" x14ac:dyDescent="0.3">
      <c r="A11" s="20"/>
    </row>
    <row r="12" spans="1:1" ht="19.5" customHeight="1" x14ac:dyDescent="0.3">
      <c r="A12" s="21" t="s">
        <v>1211</v>
      </c>
    </row>
    <row r="13" spans="1:1" ht="31.5" customHeight="1" x14ac:dyDescent="0.3">
      <c r="A13" s="20" t="s">
        <v>1212</v>
      </c>
    </row>
    <row r="14" spans="1:1" ht="18" customHeight="1" x14ac:dyDescent="0.3">
      <c r="A14" s="20"/>
    </row>
    <row r="15" spans="1:1" ht="19.5" customHeight="1" x14ac:dyDescent="0.3">
      <c r="A15" s="21" t="s">
        <v>1213</v>
      </c>
    </row>
    <row r="16" spans="1:1" ht="31.5" customHeight="1" x14ac:dyDescent="0.3">
      <c r="A16" s="20" t="s">
        <v>1214</v>
      </c>
    </row>
    <row r="17" spans="1:1" ht="18" customHeight="1" x14ac:dyDescent="0.3">
      <c r="A17" s="20"/>
    </row>
    <row r="18" spans="1:1" ht="19.5" customHeight="1" x14ac:dyDescent="0.3">
      <c r="A18" s="21" t="s">
        <v>1215</v>
      </c>
    </row>
    <row r="19" spans="1:1" ht="31.5" customHeight="1" x14ac:dyDescent="0.3">
      <c r="A19" s="20" t="s">
        <v>1219</v>
      </c>
    </row>
    <row r="20" spans="1:1" ht="31.5" customHeight="1" x14ac:dyDescent="0.3">
      <c r="A20" s="20" t="s">
        <v>1220</v>
      </c>
    </row>
    <row r="21" spans="1:1" ht="31.5" customHeight="1" x14ac:dyDescent="0.3">
      <c r="A21" s="20" t="s">
        <v>1216</v>
      </c>
    </row>
    <row r="22" spans="1:1" ht="31.5" customHeight="1" x14ac:dyDescent="0.3">
      <c r="A22" s="20" t="s">
        <v>1217</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Master Dashboard</vt:lpstr>
      <vt:lpstr>Backend</vt:lpstr>
      <vt:lpstr>Frontend</vt:lpstr>
      <vt:lpstr>Database</vt:lpstr>
      <vt:lpstr>API</vt:lpstr>
      <vt:lpstr>Trust Engine</vt:lpstr>
      <vt:lpstr>Testing</vt:lpstr>
      <vt:lpstr>DevOps</vt:lpstr>
      <vt:lpstr>Future Phases</vt:lpstr>
      <vt:lpstr>Notes &amp; Assumptions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MR POWER BALOYI (202356826)</cp:lastModifiedBy>
  <cp:revision>0</cp:revision>
  <dcterms:created xsi:type="dcterms:W3CDTF">2026-07-25T08:56:44Z</dcterms:created>
  <dcterms:modified xsi:type="dcterms:W3CDTF">2026-07-25T09:22:24Z</dcterms:modified>
  <dc:language>en-US</dc:language>
</cp:coreProperties>
</file>